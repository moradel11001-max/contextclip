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_Here" sheetId="1" state="visible" r:id="rId1"/>
    <sheet name="Codebook" sheetId="2" state="visible" r:id="rId2"/>
    <sheet name="Raw_Data" sheetId="3" state="visible" r:id="rId3"/>
    <sheet name="Reliability_Analysis" sheetId="4" state="visible" r:id="rId4"/>
    <sheet name="Descriptives" sheetId="5" state="visible" r:id="rId5"/>
    <sheet name="Hypothesis_tTests" sheetId="6" state="visible" r:id="rId6"/>
    <sheet name="Correlation_Matrix" sheetId="7" state="visible" r:id="rId7"/>
    <sheet name="APA7_Formatted_Tab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334155"/>
      <sz val="10"/>
    </font>
    <font>
      <name val="Segoe UI"/>
      <b val="1"/>
      <color rgb="001E293B"/>
      <sz val="11"/>
    </font>
    <font>
      <name val="Segoe UI"/>
      <b val="1"/>
      <color rgb="001E293B"/>
      <sz val="10"/>
    </font>
    <font>
      <name val="Segoe UI"/>
      <color rgb="00334155"/>
      <sz val="10"/>
    </font>
    <font>
      <name val="Segoe UI"/>
      <b val="1"/>
      <color rgb="001E293B"/>
      <sz val="14"/>
    </font>
    <font>
      <name val="Segoe UI"/>
      <b val="1"/>
      <color rgb="00FFFFFF"/>
      <sz val="11"/>
    </font>
    <font>
      <name val="Segoe UI"/>
      <i val="1"/>
      <color rgb="001E293B"/>
      <sz val="10"/>
    </font>
    <font>
      <name val="Times New Roman"/>
      <b val="1"/>
      <sz val="11"/>
    </font>
    <font>
      <name val="Times New Roman"/>
      <i val="1"/>
      <sz val="11"/>
    </font>
    <font>
      <name val="Times New Roman"/>
      <sz val="11"/>
    </font>
    <font>
      <name val="Times New Roman"/>
      <i val="1"/>
      <sz val="10"/>
    </font>
    <font>
      <name val="Times New Roman"/>
      <sz val="10"/>
    </font>
  </fonts>
  <fills count="9">
    <fill>
      <patternFill/>
    </fill>
    <fill>
      <patternFill patternType="gray125"/>
    </fill>
    <fill>
      <patternFill patternType="solid">
        <fgColor rgb="00ECFDF5"/>
      </patternFill>
    </fill>
    <fill>
      <patternFill patternType="solid">
        <fgColor rgb="00F0F9FF"/>
      </patternFill>
    </fill>
    <fill>
      <patternFill patternType="solid">
        <fgColor rgb="00FEF3C7"/>
      </patternFill>
    </fill>
    <fill>
      <patternFill patternType="solid">
        <fgColor rgb="004F46E5"/>
      </patternFill>
    </fill>
    <fill>
      <patternFill patternType="solid">
        <fgColor rgb="001E293B"/>
      </patternFill>
    </fill>
    <fill>
      <patternFill patternType="solid">
        <fgColor rgb="000D9488"/>
      </patternFill>
    </fill>
    <fill>
      <patternFill patternType="solid">
        <fgColor rgb="00B45309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0" borderId="1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5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7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2" fontId="4" fillId="3" borderId="1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164" fontId="5" fillId="0" borderId="1" pivotButton="0" quotePrefix="0" xfId="0"/>
    <xf numFmtId="2" fontId="5" fillId="0" borderId="1" pivotButton="0" quotePrefix="0" xfId="0"/>
    <xf numFmtId="164" fontId="4" fillId="0" borderId="1" pivotButton="0" quotePrefix="0" xfId="0"/>
    <xf numFmtId="0" fontId="3" fillId="4" borderId="1" pivotButton="0" quotePrefix="0" xfId="0"/>
    <xf numFmtId="164" fontId="3" fillId="4" borderId="1" pivotButton="0" quotePrefix="0" xfId="0"/>
    <xf numFmtId="2" fontId="5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8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2" applyAlignment="1" pivotButton="0" quotePrefix="0" xfId="0">
      <alignment horizontal="left"/>
    </xf>
    <xf numFmtId="0" fontId="10" fillId="0" borderId="2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0" fontId="11" fillId="0" borderId="3" applyAlignment="1" pivotButton="0" quotePrefix="0" xfId="0">
      <alignment horizontal="left"/>
    </xf>
    <xf numFmtId="2" fontId="11" fillId="0" borderId="3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left"/>
    </xf>
    <xf numFmtId="2" fontId="11" fillId="0" borderId="4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70" customWidth="1" min="3" max="3"/>
  </cols>
  <sheetData>
    <row r="2">
      <c r="B2" s="1" t="inlineStr">
        <is>
          <t>🎓 Thesis &amp; Survey Statistics Master Template (APA 7th Edition)</t>
        </is>
      </c>
    </row>
    <row r="3">
      <c r="B3" s="2" t="inlineStr">
        <is>
          <t>Ready-made statistical engine for Psychology, Cognitive Science, and Social Science research.</t>
        </is>
      </c>
    </row>
    <row r="5">
      <c r="B5" s="3" t="inlineStr">
        <is>
          <t>Color Code Legend</t>
        </is>
      </c>
    </row>
    <row r="6">
      <c r="B6" s="4" t="inlineStr">
        <is>
          <t>🟩 Light Green Cells</t>
        </is>
      </c>
      <c r="C6" s="5" t="inlineStr">
        <is>
          <t>DATA INPUT: Paste your raw survey item scores or values here.</t>
        </is>
      </c>
    </row>
    <row r="7">
      <c r="B7" s="6" t="inlineStr">
        <is>
          <t>🟦 Soft Blue Cells</t>
        </is>
      </c>
      <c r="C7" s="5" t="inlineStr">
        <is>
          <t>AUTOMATED FORMULAS: Do not edit; calculated dynamically.</t>
        </is>
      </c>
    </row>
    <row r="8">
      <c r="B8" s="7" t="inlineStr">
        <is>
          <t>🟨 Gold / Yellow Cells</t>
        </is>
      </c>
      <c r="C8" s="5" t="inlineStr">
        <is>
          <t>KEY APA SUMMARY RESULTS: Ready to paste into your thesis.</t>
        </is>
      </c>
    </row>
    <row r="10">
      <c r="B10" s="3" t="inlineStr">
        <is>
          <t>Quick 5-Step Workflow</t>
        </is>
      </c>
    </row>
    <row r="11">
      <c r="B11" s="8" t="inlineStr">
        <is>
          <t>Step 1: Codebook</t>
        </is>
      </c>
      <c r="C11" s="5" t="inlineStr">
        <is>
          <t>Review the 'Codebook' tab to verify item names, scale ranges, and reverse scoring rules.</t>
        </is>
      </c>
    </row>
    <row r="12">
      <c r="B12" s="8" t="inlineStr">
        <is>
          <t>Step 2: Paste Raw Data</t>
        </is>
      </c>
      <c r="C12" s="5" t="inlineStr">
        <is>
          <t>Paste your participants' responses into 'Raw_Data' (sample 50 participants included).</t>
        </is>
      </c>
    </row>
    <row r="13">
      <c r="B13" s="8" t="inlineStr">
        <is>
          <t>Step 3: Check Reliability</t>
        </is>
      </c>
      <c r="C13" s="5" t="inlineStr">
        <is>
          <t>View 'Reliability_Analysis' to verify Cronbach's Alpha (α ≥ .70 is considered acceptable).</t>
        </is>
      </c>
    </row>
    <row r="14">
      <c r="B14" s="8" t="inlineStr">
        <is>
          <t>Step 4: Check Hypotheses</t>
        </is>
      </c>
      <c r="C14" s="5" t="inlineStr">
        <is>
          <t>Check 'Hypothesis_tTests' for group differences and Cohen's d effect sizes.</t>
        </is>
      </c>
    </row>
    <row r="15">
      <c r="B15" s="8" t="inlineStr">
        <is>
          <t>Step 5: Copy APA Tables</t>
        </is>
      </c>
      <c r="C15" s="5" t="inlineStr">
        <is>
          <t>Copy pre-formatted tables from 'APA7_Formatted_Tables' straight into Word or Google Docs.</t>
        </is>
      </c>
    </row>
    <row r="17">
      <c r="B17" s="9" t="inlineStr">
        <is>
          <t>Recommended Citation in Thesis:</t>
        </is>
      </c>
      <c r="C17" s="2" t="inlineStr">
        <is>
          <t>Statistical analyses were conducted using the APA 7th Edition Survey Analysis Framework.</t>
        </is>
      </c>
    </row>
  </sheetData>
  <mergeCells count="4">
    <mergeCell ref="B3:C3"/>
    <mergeCell ref="B5:C5"/>
    <mergeCell ref="B2:C2"/>
    <mergeCell ref="B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4" customWidth="1" min="3" max="3"/>
    <col width="26" customWidth="1" min="4" max="4"/>
    <col width="24" customWidth="1" min="5" max="5"/>
    <col width="28" customWidth="1" min="6" max="6"/>
  </cols>
  <sheetData>
    <row r="1">
      <c r="A1" s="10" t="inlineStr">
        <is>
          <t>Variable Codebook &amp; Measurement Specifications</t>
        </is>
      </c>
    </row>
    <row r="3">
      <c r="A3" s="11" t="inlineStr">
        <is>
          <t>Variable ID</t>
        </is>
      </c>
      <c r="B3" s="11" t="inlineStr">
        <is>
          <t>Construct / Measure Name</t>
        </is>
      </c>
      <c r="C3" s="11" t="inlineStr">
        <is>
          <t>Items Count</t>
        </is>
      </c>
      <c r="D3" s="11" t="inlineStr">
        <is>
          <t>Response Scale</t>
        </is>
      </c>
      <c r="E3" s="11" t="inlineStr">
        <is>
          <t>Reverse-Scored Items</t>
        </is>
      </c>
      <c r="F3" s="11" t="inlineStr">
        <is>
          <t>Scoring Method</t>
        </is>
      </c>
    </row>
    <row r="4">
      <c r="A4" s="12" t="inlineStr">
        <is>
          <t>PID</t>
        </is>
      </c>
      <c r="B4" s="5" t="inlineStr">
        <is>
          <t>Participant Identifier</t>
        </is>
      </c>
      <c r="C4" s="12" t="inlineStr">
        <is>
          <t>1</t>
        </is>
      </c>
      <c r="D4" s="5" t="inlineStr">
        <is>
          <t>Alphanumeric (P001...)</t>
        </is>
      </c>
      <c r="E4" s="5" t="inlineStr">
        <is>
          <t>None</t>
        </is>
      </c>
      <c r="F4" s="5" t="inlineStr">
        <is>
          <t>Unique ID</t>
        </is>
      </c>
    </row>
    <row r="5">
      <c r="A5" s="12" t="inlineStr">
        <is>
          <t>Gender</t>
        </is>
      </c>
      <c r="B5" s="5" t="inlineStr">
        <is>
          <t>Self-reported Gender</t>
        </is>
      </c>
      <c r="C5" s="12" t="inlineStr">
        <is>
          <t>1</t>
        </is>
      </c>
      <c r="D5" s="5" t="inlineStr">
        <is>
          <t>1 = Female, 2 = Male, 3 = Other</t>
        </is>
      </c>
      <c r="E5" s="5" t="inlineStr">
        <is>
          <t>None</t>
        </is>
      </c>
      <c r="F5" s="5" t="inlineStr">
        <is>
          <t>Categorical Grouping</t>
        </is>
      </c>
    </row>
    <row r="6">
      <c r="A6" s="12" t="inlineStr">
        <is>
          <t>Age</t>
        </is>
      </c>
      <c r="B6" s="5" t="inlineStr">
        <is>
          <t>Participant Age</t>
        </is>
      </c>
      <c r="C6" s="12" t="inlineStr">
        <is>
          <t>1</t>
        </is>
      </c>
      <c r="D6" s="5" t="inlineStr">
        <is>
          <t>Continuous (Years)</t>
        </is>
      </c>
      <c r="E6" s="5" t="inlineStr">
        <is>
          <t>None</t>
        </is>
      </c>
      <c r="F6" s="5" t="inlineStr">
        <is>
          <t>Numeric Demographic</t>
        </is>
      </c>
    </row>
    <row r="7">
      <c r="A7" s="12" t="inlineStr">
        <is>
          <t>Group</t>
        </is>
      </c>
      <c r="B7" s="5" t="inlineStr">
        <is>
          <t>Intervention Condition</t>
        </is>
      </c>
      <c r="C7" s="12" t="inlineStr">
        <is>
          <t>1</t>
        </is>
      </c>
      <c r="D7" s="5" t="inlineStr">
        <is>
          <t>1 = Control, 2 = Treatment</t>
        </is>
      </c>
      <c r="E7" s="5" t="inlineStr">
        <is>
          <t>None</t>
        </is>
      </c>
      <c r="F7" s="5" t="inlineStr">
        <is>
          <t>Independent Variable</t>
        </is>
      </c>
    </row>
    <row r="8">
      <c r="A8" s="12" t="inlineStr">
        <is>
          <t>PSS_Total</t>
        </is>
      </c>
      <c r="B8" s="5" t="inlineStr">
        <is>
          <t>Perceived Stress Scale (PSS-10)</t>
        </is>
      </c>
      <c r="C8" s="12" t="inlineStr">
        <is>
          <t>10</t>
        </is>
      </c>
      <c r="D8" s="5" t="inlineStr">
        <is>
          <t>1 = Never to 5 = Very Often</t>
        </is>
      </c>
      <c r="E8" s="5" t="inlineStr">
        <is>
          <t>Items 4, 5, 7, 8 (Reverse)</t>
        </is>
      </c>
      <c r="F8" s="5" t="inlineStr">
        <is>
          <t>Mean Composite Score</t>
        </is>
      </c>
    </row>
    <row r="9">
      <c r="A9" s="12" t="inlineStr">
        <is>
          <t>Sleep_Total</t>
        </is>
      </c>
      <c r="B9" s="5" t="inlineStr">
        <is>
          <t>Sleep Quality Index (PSQI-7)</t>
        </is>
      </c>
      <c r="C9" s="12" t="inlineStr">
        <is>
          <t>7</t>
        </is>
      </c>
      <c r="D9" s="5" t="inlineStr">
        <is>
          <t>1 = Very Poor to 5 = Very Good</t>
        </is>
      </c>
      <c r="E9" s="5" t="inlineStr">
        <is>
          <t>None</t>
        </is>
      </c>
      <c r="F9" s="5" t="inlineStr">
        <is>
          <t>Mean Composite Score</t>
        </is>
      </c>
    </row>
    <row r="10">
      <c r="A10" s="12" t="inlineStr">
        <is>
          <t>GPA</t>
        </is>
      </c>
      <c r="B10" s="5" t="inlineStr">
        <is>
          <t>Academic Performance (GPA)</t>
        </is>
      </c>
      <c r="C10" s="12" t="inlineStr">
        <is>
          <t>1</t>
        </is>
      </c>
      <c r="D10" s="5" t="inlineStr">
        <is>
          <t>0.00 to 4.00 Grade Point</t>
        </is>
      </c>
      <c r="E10" s="5" t="inlineStr">
        <is>
          <t>None</t>
        </is>
      </c>
      <c r="F10" s="5" t="inlineStr">
        <is>
          <t>Continuous Outcome</t>
        </is>
      </c>
    </row>
    <row r="13">
      <c r="A13" s="3" t="inlineStr">
        <is>
          <t>💡 How to Reverse-Score Negative Survey Items in Excel</t>
        </is>
      </c>
    </row>
    <row r="14">
      <c r="A14" s="2" t="inlineStr">
        <is>
          <t>Formula: = (ScaleMax + ScaleMin) - RawScore. For example, on a 1-to-5 Likert scale: = 6 - RawScore (so 1 becomes 5, 2 becomes 4, etc.).</t>
        </is>
      </c>
    </row>
  </sheetData>
  <mergeCells count="2">
    <mergeCell ref="A13:F13"/>
    <mergeCell ref="A14:F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3" t="inlineStr">
        <is>
          <t>Participant_ID</t>
        </is>
      </c>
      <c r="B1" s="13" t="inlineStr">
        <is>
          <t>Gender</t>
        </is>
      </c>
      <c r="C1" s="13" t="inlineStr">
        <is>
          <t>Age</t>
        </is>
      </c>
      <c r="D1" s="13" t="inlineStr">
        <is>
          <t>Group</t>
        </is>
      </c>
      <c r="E1" s="11" t="inlineStr">
        <is>
          <t>PSS_1</t>
        </is>
      </c>
      <c r="F1" s="11" t="inlineStr">
        <is>
          <t>PSS_2</t>
        </is>
      </c>
      <c r="G1" s="11" t="inlineStr">
        <is>
          <t>PSS_3</t>
        </is>
      </c>
      <c r="H1" s="11" t="inlineStr">
        <is>
          <t>PSS_4_Rev</t>
        </is>
      </c>
      <c r="I1" s="11" t="inlineStr">
        <is>
          <t>PSS_5_Rev</t>
        </is>
      </c>
      <c r="J1" s="11" t="inlineStr">
        <is>
          <t>PSS_6</t>
        </is>
      </c>
      <c r="K1" s="11" t="inlineStr">
        <is>
          <t>PSS_7_Rev</t>
        </is>
      </c>
      <c r="L1" s="11" t="inlineStr">
        <is>
          <t>PSS_8_Rev</t>
        </is>
      </c>
      <c r="M1" s="11" t="inlineStr">
        <is>
          <t>PSS_9</t>
        </is>
      </c>
      <c r="N1" s="11" t="inlineStr">
        <is>
          <t>PSS_10</t>
        </is>
      </c>
      <c r="O1" s="14" t="inlineStr">
        <is>
          <t>Sleep_1</t>
        </is>
      </c>
      <c r="P1" s="14" t="inlineStr">
        <is>
          <t>Sleep_2</t>
        </is>
      </c>
      <c r="Q1" s="14" t="inlineStr">
        <is>
          <t>Sleep_3</t>
        </is>
      </c>
      <c r="R1" s="14" t="inlineStr">
        <is>
          <t>Sleep_4</t>
        </is>
      </c>
      <c r="S1" s="14" t="inlineStr">
        <is>
          <t>Sleep_5</t>
        </is>
      </c>
      <c r="T1" s="14" t="inlineStr">
        <is>
          <t>Sleep_6</t>
        </is>
      </c>
      <c r="U1" s="14" t="inlineStr">
        <is>
          <t>Sleep_7</t>
        </is>
      </c>
      <c r="V1" s="13" t="inlineStr">
        <is>
          <t>GPA</t>
        </is>
      </c>
      <c r="W1" s="15" t="inlineStr">
        <is>
          <t>PSS_Mean</t>
        </is>
      </c>
      <c r="X1" s="15" t="inlineStr">
        <is>
          <t>Sleep_Mean</t>
        </is>
      </c>
    </row>
    <row r="2">
      <c r="A2" s="16" t="inlineStr">
        <is>
          <t>P001</t>
        </is>
      </c>
      <c r="B2" s="16" t="n">
        <v>2</v>
      </c>
      <c r="C2" s="16" t="n">
        <v>20</v>
      </c>
      <c r="D2" s="16" t="n">
        <v>1</v>
      </c>
      <c r="E2" s="16" t="n">
        <v>4</v>
      </c>
      <c r="F2" s="16" t="n">
        <v>3</v>
      </c>
      <c r="G2" s="16" t="n">
        <v>3</v>
      </c>
      <c r="H2" s="16" t="n">
        <v>4</v>
      </c>
      <c r="I2" s="16" t="n">
        <v>2</v>
      </c>
      <c r="J2" s="16" t="n">
        <v>1</v>
      </c>
      <c r="K2" s="16" t="n">
        <v>4</v>
      </c>
      <c r="L2" s="16" t="n">
        <v>3</v>
      </c>
      <c r="M2" s="16" t="n">
        <v>3</v>
      </c>
      <c r="N2" s="16" t="n">
        <v>3</v>
      </c>
      <c r="O2" s="16" t="n">
        <v>2</v>
      </c>
      <c r="P2" s="16" t="n">
        <v>2</v>
      </c>
      <c r="Q2" s="16" t="n">
        <v>3</v>
      </c>
      <c r="R2" s="16" t="n">
        <v>3</v>
      </c>
      <c r="S2" s="16" t="n">
        <v>2</v>
      </c>
      <c r="T2" s="16" t="n">
        <v>2</v>
      </c>
      <c r="U2" s="16" t="n">
        <v>1</v>
      </c>
      <c r="V2" s="16" t="n">
        <v>2.71</v>
      </c>
      <c r="W2" s="17">
        <f>AVERAGE(E2:N2)</f>
        <v/>
      </c>
      <c r="X2" s="17">
        <f>AVERAGE(O2:U2)</f>
        <v/>
      </c>
    </row>
    <row r="3">
      <c r="A3" s="16" t="inlineStr">
        <is>
          <t>P002</t>
        </is>
      </c>
      <c r="B3" s="16" t="n">
        <v>1</v>
      </c>
      <c r="C3" s="16" t="n">
        <v>21</v>
      </c>
      <c r="D3" s="16" t="n">
        <v>1</v>
      </c>
      <c r="E3" s="16" t="n">
        <v>3</v>
      </c>
      <c r="F3" s="16" t="n">
        <v>2</v>
      </c>
      <c r="G3" s="16" t="n">
        <v>4</v>
      </c>
      <c r="H3" s="16" t="n">
        <v>5</v>
      </c>
      <c r="I3" s="16" t="n">
        <v>3</v>
      </c>
      <c r="J3" s="16" t="n">
        <v>3</v>
      </c>
      <c r="K3" s="16" t="n">
        <v>4</v>
      </c>
      <c r="L3" s="16" t="n">
        <v>4</v>
      </c>
      <c r="M3" s="16" t="n">
        <v>2</v>
      </c>
      <c r="N3" s="16" t="n">
        <v>2</v>
      </c>
      <c r="O3" s="16" t="n">
        <v>2</v>
      </c>
      <c r="P3" s="16" t="n">
        <v>1</v>
      </c>
      <c r="Q3" s="16" t="n">
        <v>3</v>
      </c>
      <c r="R3" s="16" t="n">
        <v>2</v>
      </c>
      <c r="S3" s="16" t="n">
        <v>1</v>
      </c>
      <c r="T3" s="16" t="n">
        <v>2</v>
      </c>
      <c r="U3" s="16" t="n">
        <v>1</v>
      </c>
      <c r="V3" s="16" t="n">
        <v>2.61</v>
      </c>
      <c r="W3" s="17">
        <f>AVERAGE(E3:N3)</f>
        <v/>
      </c>
      <c r="X3" s="17">
        <f>AVERAGE(O3:U3)</f>
        <v/>
      </c>
    </row>
    <row r="4">
      <c r="A4" s="16" t="inlineStr">
        <is>
          <t>P003</t>
        </is>
      </c>
      <c r="B4" s="16" t="n">
        <v>1</v>
      </c>
      <c r="C4" s="16" t="n">
        <v>22</v>
      </c>
      <c r="D4" s="16" t="n">
        <v>1</v>
      </c>
      <c r="E4" s="16" t="n">
        <v>3</v>
      </c>
      <c r="F4" s="16" t="n">
        <v>3</v>
      </c>
      <c r="G4" s="16" t="n">
        <v>3</v>
      </c>
      <c r="H4" s="16" t="n">
        <v>4</v>
      </c>
      <c r="I4" s="16" t="n">
        <v>3</v>
      </c>
      <c r="J4" s="16" t="n">
        <v>3</v>
      </c>
      <c r="K4" s="16" t="n">
        <v>3</v>
      </c>
      <c r="L4" s="16" t="n">
        <v>3</v>
      </c>
      <c r="M4" s="16" t="n">
        <v>2</v>
      </c>
      <c r="N4" s="16" t="n">
        <v>2</v>
      </c>
      <c r="O4" s="16" t="n">
        <v>2</v>
      </c>
      <c r="P4" s="16" t="n">
        <v>3</v>
      </c>
      <c r="Q4" s="16" t="n">
        <v>2</v>
      </c>
      <c r="R4" s="16" t="n">
        <v>4</v>
      </c>
      <c r="S4" s="16" t="n">
        <v>2</v>
      </c>
      <c r="T4" s="16" t="n">
        <v>2</v>
      </c>
      <c r="U4" s="16" t="n">
        <v>3</v>
      </c>
      <c r="V4" s="16" t="n">
        <v>3.31</v>
      </c>
      <c r="W4" s="17">
        <f>AVERAGE(E4:N4)</f>
        <v/>
      </c>
      <c r="X4" s="17">
        <f>AVERAGE(O4:U4)</f>
        <v/>
      </c>
    </row>
    <row r="5">
      <c r="A5" s="16" t="inlineStr">
        <is>
          <t>P004</t>
        </is>
      </c>
      <c r="B5" s="16" t="n">
        <v>1</v>
      </c>
      <c r="C5" s="16" t="n">
        <v>26</v>
      </c>
      <c r="D5" s="16" t="n">
        <v>1</v>
      </c>
      <c r="E5" s="16" t="n">
        <v>1</v>
      </c>
      <c r="F5" s="16" t="n">
        <v>5</v>
      </c>
      <c r="G5" s="16" t="n">
        <v>2</v>
      </c>
      <c r="H5" s="16" t="n">
        <v>2</v>
      </c>
      <c r="I5" s="16" t="n">
        <v>2</v>
      </c>
      <c r="J5" s="16" t="n">
        <v>1</v>
      </c>
      <c r="K5" s="16" t="n">
        <v>3</v>
      </c>
      <c r="L5" s="16" t="n">
        <v>2</v>
      </c>
      <c r="M5" s="16" t="n">
        <v>4</v>
      </c>
      <c r="N5" s="16" t="n">
        <v>3</v>
      </c>
      <c r="O5" s="16" t="n">
        <v>2</v>
      </c>
      <c r="P5" s="16" t="n">
        <v>3</v>
      </c>
      <c r="Q5" s="16" t="n">
        <v>4</v>
      </c>
      <c r="R5" s="16" t="n">
        <v>2</v>
      </c>
      <c r="S5" s="16" t="n">
        <v>2</v>
      </c>
      <c r="T5" s="16" t="n">
        <v>3</v>
      </c>
      <c r="U5" s="16" t="n">
        <v>1</v>
      </c>
      <c r="V5" s="16" t="n">
        <v>3.29</v>
      </c>
      <c r="W5" s="17">
        <f>AVERAGE(E5:N5)</f>
        <v/>
      </c>
      <c r="X5" s="17">
        <f>AVERAGE(O5:U5)</f>
        <v/>
      </c>
    </row>
    <row r="6">
      <c r="A6" s="16" t="inlineStr">
        <is>
          <t>P005</t>
        </is>
      </c>
      <c r="B6" s="16" t="n">
        <v>2</v>
      </c>
      <c r="C6" s="16" t="n">
        <v>21</v>
      </c>
      <c r="D6" s="16" t="n">
        <v>1</v>
      </c>
      <c r="E6" s="16" t="n">
        <v>3</v>
      </c>
      <c r="F6" s="16" t="n">
        <v>3</v>
      </c>
      <c r="G6" s="16" t="n">
        <v>2</v>
      </c>
      <c r="H6" s="16" t="n">
        <v>3</v>
      </c>
      <c r="I6" s="16" t="n">
        <v>1</v>
      </c>
      <c r="J6" s="16" t="n">
        <v>2</v>
      </c>
      <c r="K6" s="16" t="n">
        <v>2</v>
      </c>
      <c r="L6" s="16" t="n">
        <v>3</v>
      </c>
      <c r="M6" s="16" t="n">
        <v>4</v>
      </c>
      <c r="N6" s="16" t="n">
        <v>3</v>
      </c>
      <c r="O6" s="16" t="n">
        <v>2</v>
      </c>
      <c r="P6" s="16" t="n">
        <v>2</v>
      </c>
      <c r="Q6" s="16" t="n">
        <v>3</v>
      </c>
      <c r="R6" s="16" t="n">
        <v>3</v>
      </c>
      <c r="S6" s="16" t="n">
        <v>2</v>
      </c>
      <c r="T6" s="16" t="n">
        <v>2</v>
      </c>
      <c r="U6" s="16" t="n">
        <v>3</v>
      </c>
      <c r="V6" s="16" t="n">
        <v>3.05</v>
      </c>
      <c r="W6" s="17">
        <f>AVERAGE(E6:N6)</f>
        <v/>
      </c>
      <c r="X6" s="17">
        <f>AVERAGE(O6:U6)</f>
        <v/>
      </c>
    </row>
    <row r="7">
      <c r="A7" s="16" t="inlineStr">
        <is>
          <t>P006</t>
        </is>
      </c>
      <c r="B7" s="16" t="n">
        <v>2</v>
      </c>
      <c r="C7" s="16" t="n">
        <v>27</v>
      </c>
      <c r="D7" s="16" t="n">
        <v>1</v>
      </c>
      <c r="E7" s="16" t="n">
        <v>3</v>
      </c>
      <c r="F7" s="16" t="n">
        <v>4</v>
      </c>
      <c r="G7" s="16" t="n">
        <v>4</v>
      </c>
      <c r="H7" s="16" t="n">
        <v>2</v>
      </c>
      <c r="I7" s="16" t="n">
        <v>4</v>
      </c>
      <c r="J7" s="16" t="n">
        <v>4</v>
      </c>
      <c r="K7" s="16" t="n">
        <v>3</v>
      </c>
      <c r="L7" s="16" t="n">
        <v>2</v>
      </c>
      <c r="M7" s="16" t="n">
        <v>3</v>
      </c>
      <c r="N7" s="16" t="n">
        <v>3</v>
      </c>
      <c r="O7" s="16" t="n">
        <v>2</v>
      </c>
      <c r="P7" s="16" t="n">
        <v>2</v>
      </c>
      <c r="Q7" s="16" t="n">
        <v>2</v>
      </c>
      <c r="R7" s="16" t="n">
        <v>1</v>
      </c>
      <c r="S7" s="16" t="n">
        <v>3</v>
      </c>
      <c r="T7" s="16" t="n">
        <v>2</v>
      </c>
      <c r="U7" s="16" t="n">
        <v>2</v>
      </c>
      <c r="V7" s="16" t="n">
        <v>2.94</v>
      </c>
      <c r="W7" s="17">
        <f>AVERAGE(E7:N7)</f>
        <v/>
      </c>
      <c r="X7" s="17">
        <f>AVERAGE(O7:U7)</f>
        <v/>
      </c>
    </row>
    <row r="8">
      <c r="A8" s="16" t="inlineStr">
        <is>
          <t>P007</t>
        </is>
      </c>
      <c r="B8" s="16" t="n">
        <v>2</v>
      </c>
      <c r="C8" s="16" t="n">
        <v>23</v>
      </c>
      <c r="D8" s="16" t="n">
        <v>1</v>
      </c>
      <c r="E8" s="16" t="n">
        <v>3</v>
      </c>
      <c r="F8" s="16" t="n">
        <v>2</v>
      </c>
      <c r="G8" s="16" t="n">
        <v>3</v>
      </c>
      <c r="H8" s="16" t="n">
        <v>4</v>
      </c>
      <c r="I8" s="16" t="n">
        <v>4</v>
      </c>
      <c r="J8" s="16" t="n">
        <v>5</v>
      </c>
      <c r="K8" s="16" t="n">
        <v>4</v>
      </c>
      <c r="L8" s="16" t="n">
        <v>2</v>
      </c>
      <c r="M8" s="16" t="n">
        <v>2</v>
      </c>
      <c r="N8" s="16" t="n">
        <v>2</v>
      </c>
      <c r="O8" s="16" t="n">
        <v>3</v>
      </c>
      <c r="P8" s="16" t="n">
        <v>3</v>
      </c>
      <c r="Q8" s="16" t="n">
        <v>4</v>
      </c>
      <c r="R8" s="16" t="n">
        <v>2</v>
      </c>
      <c r="S8" s="16" t="n">
        <v>2</v>
      </c>
      <c r="T8" s="16" t="n">
        <v>3</v>
      </c>
      <c r="U8" s="16" t="n">
        <v>2</v>
      </c>
      <c r="V8" s="16" t="n">
        <v>2.91</v>
      </c>
      <c r="W8" s="17">
        <f>AVERAGE(E8:N8)</f>
        <v/>
      </c>
      <c r="X8" s="17">
        <f>AVERAGE(O8:U8)</f>
        <v/>
      </c>
    </row>
    <row r="9">
      <c r="A9" s="16" t="inlineStr">
        <is>
          <t>P008</t>
        </is>
      </c>
      <c r="B9" s="16" t="n">
        <v>2</v>
      </c>
      <c r="C9" s="16" t="n">
        <v>26</v>
      </c>
      <c r="D9" s="16" t="n">
        <v>1</v>
      </c>
      <c r="E9" s="16" t="n">
        <v>4</v>
      </c>
      <c r="F9" s="16" t="n">
        <v>1</v>
      </c>
      <c r="G9" s="16" t="n">
        <v>2</v>
      </c>
      <c r="H9" s="16" t="n">
        <v>3</v>
      </c>
      <c r="I9" s="16" t="n">
        <v>2</v>
      </c>
      <c r="J9" s="16" t="n">
        <v>1</v>
      </c>
      <c r="K9" s="16" t="n">
        <v>3</v>
      </c>
      <c r="L9" s="16" t="n">
        <v>4</v>
      </c>
      <c r="M9" s="16" t="n">
        <v>1</v>
      </c>
      <c r="N9" s="16" t="n">
        <v>2</v>
      </c>
      <c r="O9" s="16" t="n">
        <v>3</v>
      </c>
      <c r="P9" s="16" t="n">
        <v>2</v>
      </c>
      <c r="Q9" s="16" t="n">
        <v>2</v>
      </c>
      <c r="R9" s="16" t="n">
        <v>1</v>
      </c>
      <c r="S9" s="16" t="n">
        <v>1</v>
      </c>
      <c r="T9" s="16" t="n">
        <v>3</v>
      </c>
      <c r="U9" s="16" t="n">
        <v>1</v>
      </c>
      <c r="V9" s="16" t="n">
        <v>3.33</v>
      </c>
      <c r="W9" s="17">
        <f>AVERAGE(E9:N9)</f>
        <v/>
      </c>
      <c r="X9" s="17">
        <f>AVERAGE(O9:U9)</f>
        <v/>
      </c>
    </row>
    <row r="10">
      <c r="A10" s="16" t="inlineStr">
        <is>
          <t>P009</t>
        </is>
      </c>
      <c r="B10" s="16" t="n">
        <v>2</v>
      </c>
      <c r="C10" s="16" t="n">
        <v>20</v>
      </c>
      <c r="D10" s="16" t="n">
        <v>1</v>
      </c>
      <c r="E10" s="16" t="n">
        <v>3</v>
      </c>
      <c r="F10" s="16" t="n">
        <v>3</v>
      </c>
      <c r="G10" s="16" t="n">
        <v>4</v>
      </c>
      <c r="H10" s="16" t="n">
        <v>3</v>
      </c>
      <c r="I10" s="16" t="n">
        <v>3</v>
      </c>
      <c r="J10" s="16" t="n">
        <v>3</v>
      </c>
      <c r="K10" s="16" t="n">
        <v>3</v>
      </c>
      <c r="L10" s="16" t="n">
        <v>3</v>
      </c>
      <c r="M10" s="16" t="n">
        <v>3</v>
      </c>
      <c r="N10" s="16" t="n">
        <v>3</v>
      </c>
      <c r="O10" s="16" t="n">
        <v>2</v>
      </c>
      <c r="P10" s="16" t="n">
        <v>3</v>
      </c>
      <c r="Q10" s="16" t="n">
        <v>2</v>
      </c>
      <c r="R10" s="16" t="n">
        <v>3</v>
      </c>
      <c r="S10" s="16" t="n">
        <v>1</v>
      </c>
      <c r="T10" s="16" t="n">
        <v>2</v>
      </c>
      <c r="U10" s="16" t="n">
        <v>3</v>
      </c>
      <c r="V10" s="16" t="n">
        <v>2.73</v>
      </c>
      <c r="W10" s="17">
        <f>AVERAGE(E10:N10)</f>
        <v/>
      </c>
      <c r="X10" s="17">
        <f>AVERAGE(O10:U10)</f>
        <v/>
      </c>
    </row>
    <row r="11">
      <c r="A11" s="16" t="inlineStr">
        <is>
          <t>P010</t>
        </is>
      </c>
      <c r="B11" s="16" t="n">
        <v>1</v>
      </c>
      <c r="C11" s="16" t="n">
        <v>26</v>
      </c>
      <c r="D11" s="16" t="n">
        <v>1</v>
      </c>
      <c r="E11" s="16" t="n">
        <v>3</v>
      </c>
      <c r="F11" s="16" t="n">
        <v>2</v>
      </c>
      <c r="G11" s="16" t="n">
        <v>4</v>
      </c>
      <c r="H11" s="16" t="n">
        <v>3</v>
      </c>
      <c r="I11" s="16" t="n">
        <v>2</v>
      </c>
      <c r="J11" s="16" t="n">
        <v>3</v>
      </c>
      <c r="K11" s="16" t="n">
        <v>3</v>
      </c>
      <c r="L11" s="16" t="n">
        <v>2</v>
      </c>
      <c r="M11" s="16" t="n">
        <v>3</v>
      </c>
      <c r="N11" s="16" t="n">
        <v>3</v>
      </c>
      <c r="O11" s="16" t="n">
        <v>2</v>
      </c>
      <c r="P11" s="16" t="n">
        <v>3</v>
      </c>
      <c r="Q11" s="16" t="n">
        <v>3</v>
      </c>
      <c r="R11" s="16" t="n">
        <v>2</v>
      </c>
      <c r="S11" s="16" t="n">
        <v>3</v>
      </c>
      <c r="T11" s="16" t="n">
        <v>3</v>
      </c>
      <c r="U11" s="16" t="n">
        <v>2</v>
      </c>
      <c r="V11" s="16" t="n">
        <v>3.05</v>
      </c>
      <c r="W11" s="17">
        <f>AVERAGE(E11:N11)</f>
        <v/>
      </c>
      <c r="X11" s="17">
        <f>AVERAGE(O11:U11)</f>
        <v/>
      </c>
    </row>
    <row r="12">
      <c r="A12" s="16" t="inlineStr">
        <is>
          <t>P011</t>
        </is>
      </c>
      <c r="B12" s="16" t="n">
        <v>1</v>
      </c>
      <c r="C12" s="16" t="n">
        <v>20</v>
      </c>
      <c r="D12" s="16" t="n">
        <v>1</v>
      </c>
      <c r="E12" s="16" t="n">
        <v>1</v>
      </c>
      <c r="F12" s="16" t="n">
        <v>3</v>
      </c>
      <c r="G12" s="16" t="n">
        <v>3</v>
      </c>
      <c r="H12" s="16" t="n">
        <v>3</v>
      </c>
      <c r="I12" s="16" t="n">
        <v>4</v>
      </c>
      <c r="J12" s="16" t="n">
        <v>3</v>
      </c>
      <c r="K12" s="16" t="n">
        <v>5</v>
      </c>
      <c r="L12" s="16" t="n">
        <v>3</v>
      </c>
      <c r="M12" s="16" t="n">
        <v>3</v>
      </c>
      <c r="N12" s="16" t="n">
        <v>3</v>
      </c>
      <c r="O12" s="16" t="n">
        <v>2</v>
      </c>
      <c r="P12" s="16" t="n">
        <v>2</v>
      </c>
      <c r="Q12" s="16" t="n">
        <v>2</v>
      </c>
      <c r="R12" s="16" t="n">
        <v>2</v>
      </c>
      <c r="S12" s="16" t="n">
        <v>1</v>
      </c>
      <c r="T12" s="16" t="n">
        <v>4</v>
      </c>
      <c r="U12" s="16" t="n">
        <v>2</v>
      </c>
      <c r="V12" s="16" t="n">
        <v>3.39</v>
      </c>
      <c r="W12" s="17">
        <f>AVERAGE(E12:N12)</f>
        <v/>
      </c>
      <c r="X12" s="17">
        <f>AVERAGE(O12:U12)</f>
        <v/>
      </c>
    </row>
    <row r="13">
      <c r="A13" s="16" t="inlineStr">
        <is>
          <t>P012</t>
        </is>
      </c>
      <c r="B13" s="16" t="n">
        <v>2</v>
      </c>
      <c r="C13" s="16" t="n">
        <v>23</v>
      </c>
      <c r="D13" s="16" t="n">
        <v>1</v>
      </c>
      <c r="E13" s="16" t="n">
        <v>1</v>
      </c>
      <c r="F13" s="16" t="n">
        <v>4</v>
      </c>
      <c r="G13" s="16" t="n">
        <v>4</v>
      </c>
      <c r="H13" s="16" t="n">
        <v>3</v>
      </c>
      <c r="I13" s="16" t="n">
        <v>3</v>
      </c>
      <c r="J13" s="16" t="n">
        <v>2</v>
      </c>
      <c r="K13" s="16" t="n">
        <v>2</v>
      </c>
      <c r="L13" s="16" t="n">
        <v>5</v>
      </c>
      <c r="M13" s="16" t="n">
        <v>2</v>
      </c>
      <c r="N13" s="16" t="n">
        <v>2</v>
      </c>
      <c r="O13" s="16" t="n">
        <v>2</v>
      </c>
      <c r="P13" s="16" t="n">
        <v>2</v>
      </c>
      <c r="Q13" s="16" t="n">
        <v>2</v>
      </c>
      <c r="R13" s="16" t="n">
        <v>2</v>
      </c>
      <c r="S13" s="16" t="n">
        <v>3</v>
      </c>
      <c r="T13" s="16" t="n">
        <v>2</v>
      </c>
      <c r="U13" s="16" t="n">
        <v>3</v>
      </c>
      <c r="V13" s="16" t="n">
        <v>2.93</v>
      </c>
      <c r="W13" s="17">
        <f>AVERAGE(E13:N13)</f>
        <v/>
      </c>
      <c r="X13" s="17">
        <f>AVERAGE(O13:U13)</f>
        <v/>
      </c>
    </row>
    <row r="14">
      <c r="A14" s="16" t="inlineStr">
        <is>
          <t>P013</t>
        </is>
      </c>
      <c r="B14" s="16" t="n">
        <v>1</v>
      </c>
      <c r="C14" s="16" t="n">
        <v>20</v>
      </c>
      <c r="D14" s="16" t="n">
        <v>1</v>
      </c>
      <c r="E14" s="16" t="n">
        <v>2</v>
      </c>
      <c r="F14" s="16" t="n">
        <v>2</v>
      </c>
      <c r="G14" s="16" t="n">
        <v>3</v>
      </c>
      <c r="H14" s="16" t="n">
        <v>3</v>
      </c>
      <c r="I14" s="16" t="n">
        <v>3</v>
      </c>
      <c r="J14" s="16" t="n">
        <v>3</v>
      </c>
      <c r="K14" s="16" t="n">
        <v>2</v>
      </c>
      <c r="L14" s="16" t="n">
        <v>2</v>
      </c>
      <c r="M14" s="16" t="n">
        <v>2</v>
      </c>
      <c r="N14" s="16" t="n">
        <v>3</v>
      </c>
      <c r="O14" s="16" t="n">
        <v>1</v>
      </c>
      <c r="P14" s="16" t="n">
        <v>2</v>
      </c>
      <c r="Q14" s="16" t="n">
        <v>3</v>
      </c>
      <c r="R14" s="16" t="n">
        <v>3</v>
      </c>
      <c r="S14" s="16" t="n">
        <v>2</v>
      </c>
      <c r="T14" s="16" t="n">
        <v>3</v>
      </c>
      <c r="U14" s="16" t="n">
        <v>2</v>
      </c>
      <c r="V14" s="16" t="n">
        <v>2.76</v>
      </c>
      <c r="W14" s="17">
        <f>AVERAGE(E14:N14)</f>
        <v/>
      </c>
      <c r="X14" s="17">
        <f>AVERAGE(O14:U14)</f>
        <v/>
      </c>
    </row>
    <row r="15">
      <c r="A15" s="16" t="inlineStr">
        <is>
          <t>P014</t>
        </is>
      </c>
      <c r="B15" s="16" t="n">
        <v>2</v>
      </c>
      <c r="C15" s="16" t="n">
        <v>20</v>
      </c>
      <c r="D15" s="16" t="n">
        <v>1</v>
      </c>
      <c r="E15" s="16" t="n">
        <v>4</v>
      </c>
      <c r="F15" s="16" t="n">
        <v>3</v>
      </c>
      <c r="G15" s="16" t="n">
        <v>3</v>
      </c>
      <c r="H15" s="16" t="n">
        <v>3</v>
      </c>
      <c r="I15" s="16" t="n">
        <v>2</v>
      </c>
      <c r="J15" s="16" t="n">
        <v>3</v>
      </c>
      <c r="K15" s="16" t="n">
        <v>3</v>
      </c>
      <c r="L15" s="16" t="n">
        <v>3</v>
      </c>
      <c r="M15" s="16" t="n">
        <v>3</v>
      </c>
      <c r="N15" s="16" t="n">
        <v>3</v>
      </c>
      <c r="O15" s="16" t="n">
        <v>2</v>
      </c>
      <c r="P15" s="16" t="n">
        <v>3</v>
      </c>
      <c r="Q15" s="16" t="n">
        <v>2</v>
      </c>
      <c r="R15" s="16" t="n">
        <v>2</v>
      </c>
      <c r="S15" s="16" t="n">
        <v>4</v>
      </c>
      <c r="T15" s="16" t="n">
        <v>2</v>
      </c>
      <c r="U15" s="16" t="n">
        <v>1</v>
      </c>
      <c r="V15" s="16" t="n">
        <v>2.88</v>
      </c>
      <c r="W15" s="17">
        <f>AVERAGE(E15:N15)</f>
        <v/>
      </c>
      <c r="X15" s="17">
        <f>AVERAGE(O15:U15)</f>
        <v/>
      </c>
    </row>
    <row r="16">
      <c r="A16" s="16" t="inlineStr">
        <is>
          <t>P015</t>
        </is>
      </c>
      <c r="B16" s="16" t="n">
        <v>1</v>
      </c>
      <c r="C16" s="16" t="n">
        <v>23</v>
      </c>
      <c r="D16" s="16" t="n">
        <v>1</v>
      </c>
      <c r="E16" s="16" t="n">
        <v>3</v>
      </c>
      <c r="F16" s="16" t="n">
        <v>3</v>
      </c>
      <c r="G16" s="16" t="n">
        <v>3</v>
      </c>
      <c r="H16" s="16" t="n">
        <v>2</v>
      </c>
      <c r="I16" s="16" t="n">
        <v>4</v>
      </c>
      <c r="J16" s="16" t="n">
        <v>2</v>
      </c>
      <c r="K16" s="16" t="n">
        <v>3</v>
      </c>
      <c r="L16" s="16" t="n">
        <v>3</v>
      </c>
      <c r="M16" s="16" t="n">
        <v>3</v>
      </c>
      <c r="N16" s="16" t="n">
        <v>4</v>
      </c>
      <c r="O16" s="16" t="n">
        <v>2</v>
      </c>
      <c r="P16" s="16" t="n">
        <v>1</v>
      </c>
      <c r="Q16" s="16" t="n">
        <v>2</v>
      </c>
      <c r="R16" s="16" t="n">
        <v>2</v>
      </c>
      <c r="S16" s="16" t="n">
        <v>2</v>
      </c>
      <c r="T16" s="16" t="n">
        <v>2</v>
      </c>
      <c r="U16" s="16" t="n">
        <v>1</v>
      </c>
      <c r="V16" s="16" t="n">
        <v>2.6</v>
      </c>
      <c r="W16" s="17">
        <f>AVERAGE(E16:N16)</f>
        <v/>
      </c>
      <c r="X16" s="17">
        <f>AVERAGE(O16:U16)</f>
        <v/>
      </c>
    </row>
    <row r="17">
      <c r="A17" s="16" t="inlineStr">
        <is>
          <t>P016</t>
        </is>
      </c>
      <c r="B17" s="16" t="n">
        <v>1</v>
      </c>
      <c r="C17" s="16" t="n">
        <v>19</v>
      </c>
      <c r="D17" s="16" t="n">
        <v>1</v>
      </c>
      <c r="E17" s="16" t="n">
        <v>3</v>
      </c>
      <c r="F17" s="16" t="n">
        <v>3</v>
      </c>
      <c r="G17" s="16" t="n">
        <v>3</v>
      </c>
      <c r="H17" s="16" t="n">
        <v>3</v>
      </c>
      <c r="I17" s="16" t="n">
        <v>2</v>
      </c>
      <c r="J17" s="16" t="n">
        <v>3</v>
      </c>
      <c r="K17" s="16" t="n">
        <v>3</v>
      </c>
      <c r="L17" s="16" t="n">
        <v>3</v>
      </c>
      <c r="M17" s="16" t="n">
        <v>4</v>
      </c>
      <c r="N17" s="16" t="n">
        <v>2</v>
      </c>
      <c r="O17" s="16" t="n">
        <v>2</v>
      </c>
      <c r="P17" s="16" t="n">
        <v>2</v>
      </c>
      <c r="Q17" s="16" t="n">
        <v>2</v>
      </c>
      <c r="R17" s="16" t="n">
        <v>3</v>
      </c>
      <c r="S17" s="16" t="n">
        <v>2</v>
      </c>
      <c r="T17" s="16" t="n">
        <v>2</v>
      </c>
      <c r="U17" s="16" t="n">
        <v>1</v>
      </c>
      <c r="V17" s="16" t="n">
        <v>3.39</v>
      </c>
      <c r="W17" s="17">
        <f>AVERAGE(E17:N17)</f>
        <v/>
      </c>
      <c r="X17" s="17">
        <f>AVERAGE(O17:U17)</f>
        <v/>
      </c>
    </row>
    <row r="18">
      <c r="A18" s="16" t="inlineStr">
        <is>
          <t>P017</t>
        </is>
      </c>
      <c r="B18" s="16" t="n">
        <v>1</v>
      </c>
      <c r="C18" s="16" t="n">
        <v>24</v>
      </c>
      <c r="D18" s="16" t="n">
        <v>1</v>
      </c>
      <c r="E18" s="16" t="n">
        <v>3</v>
      </c>
      <c r="F18" s="16" t="n">
        <v>3</v>
      </c>
      <c r="G18" s="16" t="n">
        <v>4</v>
      </c>
      <c r="H18" s="16" t="n">
        <v>4</v>
      </c>
      <c r="I18" s="16" t="n">
        <v>4</v>
      </c>
      <c r="J18" s="16" t="n">
        <v>2</v>
      </c>
      <c r="K18" s="16" t="n">
        <v>3</v>
      </c>
      <c r="L18" s="16" t="n">
        <v>3</v>
      </c>
      <c r="M18" s="16" t="n">
        <v>4</v>
      </c>
      <c r="N18" s="16" t="n">
        <v>2</v>
      </c>
      <c r="O18" s="16" t="n">
        <v>4</v>
      </c>
      <c r="P18" s="16" t="n">
        <v>2</v>
      </c>
      <c r="Q18" s="16" t="n">
        <v>2</v>
      </c>
      <c r="R18" s="16" t="n">
        <v>2</v>
      </c>
      <c r="S18" s="16" t="n">
        <v>2</v>
      </c>
      <c r="T18" s="16" t="n">
        <v>2</v>
      </c>
      <c r="U18" s="16" t="n">
        <v>3</v>
      </c>
      <c r="V18" s="16" t="n">
        <v>2.76</v>
      </c>
      <c r="W18" s="17">
        <f>AVERAGE(E18:N18)</f>
        <v/>
      </c>
      <c r="X18" s="17">
        <f>AVERAGE(O18:U18)</f>
        <v/>
      </c>
    </row>
    <row r="19">
      <c r="A19" s="16" t="inlineStr">
        <is>
          <t>P018</t>
        </is>
      </c>
      <c r="B19" s="16" t="n">
        <v>2</v>
      </c>
      <c r="C19" s="16" t="n">
        <v>22</v>
      </c>
      <c r="D19" s="16" t="n">
        <v>1</v>
      </c>
      <c r="E19" s="16" t="n">
        <v>3</v>
      </c>
      <c r="F19" s="16" t="n">
        <v>4</v>
      </c>
      <c r="G19" s="16" t="n">
        <v>4</v>
      </c>
      <c r="H19" s="16" t="n">
        <v>4</v>
      </c>
      <c r="I19" s="16" t="n">
        <v>3</v>
      </c>
      <c r="J19" s="16" t="n">
        <v>2</v>
      </c>
      <c r="K19" s="16" t="n">
        <v>3</v>
      </c>
      <c r="L19" s="16" t="n">
        <v>2</v>
      </c>
      <c r="M19" s="16" t="n">
        <v>2</v>
      </c>
      <c r="N19" s="16" t="n">
        <v>4</v>
      </c>
      <c r="O19" s="16" t="n">
        <v>2</v>
      </c>
      <c r="P19" s="16" t="n">
        <v>2</v>
      </c>
      <c r="Q19" s="16" t="n">
        <v>3</v>
      </c>
      <c r="R19" s="16" t="n">
        <v>3</v>
      </c>
      <c r="S19" s="16" t="n">
        <v>4</v>
      </c>
      <c r="T19" s="16" t="n">
        <v>1</v>
      </c>
      <c r="U19" s="16" t="n">
        <v>2</v>
      </c>
      <c r="V19" s="16" t="n">
        <v>3.3</v>
      </c>
      <c r="W19" s="17">
        <f>AVERAGE(E19:N19)</f>
        <v/>
      </c>
      <c r="X19" s="17">
        <f>AVERAGE(O19:U19)</f>
        <v/>
      </c>
    </row>
    <row r="20">
      <c r="A20" s="16" t="inlineStr">
        <is>
          <t>P019</t>
        </is>
      </c>
      <c r="B20" s="16" t="n">
        <v>2</v>
      </c>
      <c r="C20" s="16" t="n">
        <v>27</v>
      </c>
      <c r="D20" s="16" t="n">
        <v>1</v>
      </c>
      <c r="E20" s="16" t="n">
        <v>3</v>
      </c>
      <c r="F20" s="16" t="n">
        <v>3</v>
      </c>
      <c r="G20" s="16" t="n">
        <v>3</v>
      </c>
      <c r="H20" s="16" t="n">
        <v>2</v>
      </c>
      <c r="I20" s="16" t="n">
        <v>1</v>
      </c>
      <c r="J20" s="16" t="n">
        <v>2</v>
      </c>
      <c r="K20" s="16" t="n">
        <v>4</v>
      </c>
      <c r="L20" s="16" t="n">
        <v>3</v>
      </c>
      <c r="M20" s="16" t="n">
        <v>2</v>
      </c>
      <c r="N20" s="16" t="n">
        <v>4</v>
      </c>
      <c r="O20" s="16" t="n">
        <v>1</v>
      </c>
      <c r="P20" s="16" t="n">
        <v>3</v>
      </c>
      <c r="Q20" s="16" t="n">
        <v>3</v>
      </c>
      <c r="R20" s="16" t="n">
        <v>3</v>
      </c>
      <c r="S20" s="16" t="n">
        <v>2</v>
      </c>
      <c r="T20" s="16" t="n">
        <v>2</v>
      </c>
      <c r="U20" s="16" t="n">
        <v>2</v>
      </c>
      <c r="V20" s="16" t="n">
        <v>3.07</v>
      </c>
      <c r="W20" s="17">
        <f>AVERAGE(E20:N20)</f>
        <v/>
      </c>
      <c r="X20" s="17">
        <f>AVERAGE(O20:U20)</f>
        <v/>
      </c>
    </row>
    <row r="21">
      <c r="A21" s="16" t="inlineStr">
        <is>
          <t>P020</t>
        </is>
      </c>
      <c r="B21" s="16" t="n">
        <v>1</v>
      </c>
      <c r="C21" s="16" t="n">
        <v>22</v>
      </c>
      <c r="D21" s="16" t="n">
        <v>1</v>
      </c>
      <c r="E21" s="16" t="n">
        <v>3</v>
      </c>
      <c r="F21" s="16" t="n">
        <v>3</v>
      </c>
      <c r="G21" s="16" t="n">
        <v>3</v>
      </c>
      <c r="H21" s="16" t="n">
        <v>2</v>
      </c>
      <c r="I21" s="16" t="n">
        <v>2</v>
      </c>
      <c r="J21" s="16" t="n">
        <v>4</v>
      </c>
      <c r="K21" s="16" t="n">
        <v>3</v>
      </c>
      <c r="L21" s="16" t="n">
        <v>2</v>
      </c>
      <c r="M21" s="16" t="n">
        <v>3</v>
      </c>
      <c r="N21" s="16" t="n">
        <v>4</v>
      </c>
      <c r="O21" s="16" t="n">
        <v>2</v>
      </c>
      <c r="P21" s="16" t="n">
        <v>3</v>
      </c>
      <c r="Q21" s="16" t="n">
        <v>3</v>
      </c>
      <c r="R21" s="16" t="n">
        <v>3</v>
      </c>
      <c r="S21" s="16" t="n">
        <v>3</v>
      </c>
      <c r="T21" s="16" t="n">
        <v>2</v>
      </c>
      <c r="U21" s="16" t="n">
        <v>3</v>
      </c>
      <c r="V21" s="16" t="n">
        <v>2.75</v>
      </c>
      <c r="W21" s="17">
        <f>AVERAGE(E21:N21)</f>
        <v/>
      </c>
      <c r="X21" s="17">
        <f>AVERAGE(O21:U21)</f>
        <v/>
      </c>
    </row>
    <row r="22">
      <c r="A22" s="16" t="inlineStr">
        <is>
          <t>P021</t>
        </is>
      </c>
      <c r="B22" s="16" t="n">
        <v>2</v>
      </c>
      <c r="C22" s="16" t="n">
        <v>25</v>
      </c>
      <c r="D22" s="16" t="n">
        <v>1</v>
      </c>
      <c r="E22" s="16" t="n">
        <v>3</v>
      </c>
      <c r="F22" s="16" t="n">
        <v>3</v>
      </c>
      <c r="G22" s="16" t="n">
        <v>3</v>
      </c>
      <c r="H22" s="16" t="n">
        <v>4</v>
      </c>
      <c r="I22" s="16" t="n">
        <v>2</v>
      </c>
      <c r="J22" s="16" t="n">
        <v>2</v>
      </c>
      <c r="K22" s="16" t="n">
        <v>2</v>
      </c>
      <c r="L22" s="16" t="n">
        <v>3</v>
      </c>
      <c r="M22" s="16" t="n">
        <v>3</v>
      </c>
      <c r="N22" s="16" t="n">
        <v>4</v>
      </c>
      <c r="O22" s="16" t="n">
        <v>3</v>
      </c>
      <c r="P22" s="16" t="n">
        <v>2</v>
      </c>
      <c r="Q22" s="16" t="n">
        <v>2</v>
      </c>
      <c r="R22" s="16" t="n">
        <v>3</v>
      </c>
      <c r="S22" s="16" t="n">
        <v>1</v>
      </c>
      <c r="T22" s="16" t="n">
        <v>2</v>
      </c>
      <c r="U22" s="16" t="n">
        <v>2</v>
      </c>
      <c r="V22" s="16" t="n">
        <v>3.35</v>
      </c>
      <c r="W22" s="17">
        <f>AVERAGE(E22:N22)</f>
        <v/>
      </c>
      <c r="X22" s="17">
        <f>AVERAGE(O22:U22)</f>
        <v/>
      </c>
    </row>
    <row r="23">
      <c r="A23" s="16" t="inlineStr">
        <is>
          <t>P022</t>
        </is>
      </c>
      <c r="B23" s="16" t="n">
        <v>1</v>
      </c>
      <c r="C23" s="16" t="n">
        <v>23</v>
      </c>
      <c r="D23" s="16" t="n">
        <v>1</v>
      </c>
      <c r="E23" s="16" t="n">
        <v>3</v>
      </c>
      <c r="F23" s="16" t="n">
        <v>3</v>
      </c>
      <c r="G23" s="16" t="n">
        <v>3</v>
      </c>
      <c r="H23" s="16" t="n">
        <v>3</v>
      </c>
      <c r="I23" s="16" t="n">
        <v>1</v>
      </c>
      <c r="J23" s="16" t="n">
        <v>3</v>
      </c>
      <c r="K23" s="16" t="n">
        <v>4</v>
      </c>
      <c r="L23" s="16" t="n">
        <v>3</v>
      </c>
      <c r="M23" s="16" t="n">
        <v>3</v>
      </c>
      <c r="N23" s="16" t="n">
        <v>3</v>
      </c>
      <c r="O23" s="16" t="n">
        <v>2</v>
      </c>
      <c r="P23" s="16" t="n">
        <v>2</v>
      </c>
      <c r="Q23" s="16" t="n">
        <v>2</v>
      </c>
      <c r="R23" s="16" t="n">
        <v>3</v>
      </c>
      <c r="S23" s="16" t="n">
        <v>3</v>
      </c>
      <c r="T23" s="16" t="n">
        <v>2</v>
      </c>
      <c r="U23" s="16" t="n">
        <v>2</v>
      </c>
      <c r="V23" s="16" t="n">
        <v>2.83</v>
      </c>
      <c r="W23" s="17">
        <f>AVERAGE(E23:N23)</f>
        <v/>
      </c>
      <c r="X23" s="17">
        <f>AVERAGE(O23:U23)</f>
        <v/>
      </c>
    </row>
    <row r="24">
      <c r="A24" s="16" t="inlineStr">
        <is>
          <t>P023</t>
        </is>
      </c>
      <c r="B24" s="16" t="n">
        <v>2</v>
      </c>
      <c r="C24" s="16" t="n">
        <v>22</v>
      </c>
      <c r="D24" s="16" t="n">
        <v>1</v>
      </c>
      <c r="E24" s="16" t="n">
        <v>4</v>
      </c>
      <c r="F24" s="16" t="n">
        <v>5</v>
      </c>
      <c r="G24" s="16" t="n">
        <v>3</v>
      </c>
      <c r="H24" s="16" t="n">
        <v>3</v>
      </c>
      <c r="I24" s="16" t="n">
        <v>3</v>
      </c>
      <c r="J24" s="16" t="n">
        <v>4</v>
      </c>
      <c r="K24" s="16" t="n">
        <v>2</v>
      </c>
      <c r="L24" s="16" t="n">
        <v>3</v>
      </c>
      <c r="M24" s="16" t="n">
        <v>2</v>
      </c>
      <c r="N24" s="16" t="n">
        <v>1</v>
      </c>
      <c r="O24" s="16" t="n">
        <v>1</v>
      </c>
      <c r="P24" s="16" t="n">
        <v>1</v>
      </c>
      <c r="Q24" s="16" t="n">
        <v>3</v>
      </c>
      <c r="R24" s="16" t="n">
        <v>2</v>
      </c>
      <c r="S24" s="16" t="n">
        <v>2</v>
      </c>
      <c r="T24" s="16" t="n">
        <v>1</v>
      </c>
      <c r="U24" s="16" t="n">
        <v>3</v>
      </c>
      <c r="V24" s="16" t="n">
        <v>2.67</v>
      </c>
      <c r="W24" s="17">
        <f>AVERAGE(E24:N24)</f>
        <v/>
      </c>
      <c r="X24" s="17">
        <f>AVERAGE(O24:U24)</f>
        <v/>
      </c>
    </row>
    <row r="25">
      <c r="A25" s="16" t="inlineStr">
        <is>
          <t>P024</t>
        </is>
      </c>
      <c r="B25" s="16" t="n">
        <v>1</v>
      </c>
      <c r="C25" s="16" t="n">
        <v>26</v>
      </c>
      <c r="D25" s="16" t="n">
        <v>1</v>
      </c>
      <c r="E25" s="16" t="n">
        <v>2</v>
      </c>
      <c r="F25" s="16" t="n">
        <v>3</v>
      </c>
      <c r="G25" s="16" t="n">
        <v>3</v>
      </c>
      <c r="H25" s="16" t="n">
        <v>2</v>
      </c>
      <c r="I25" s="16" t="n">
        <v>3</v>
      </c>
      <c r="J25" s="16" t="n">
        <v>2</v>
      </c>
      <c r="K25" s="16" t="n">
        <v>3</v>
      </c>
      <c r="L25" s="16" t="n">
        <v>4</v>
      </c>
      <c r="M25" s="16" t="n">
        <v>3</v>
      </c>
      <c r="N25" s="16" t="n">
        <v>2</v>
      </c>
      <c r="O25" s="16" t="n">
        <v>2</v>
      </c>
      <c r="P25" s="16" t="n">
        <v>4</v>
      </c>
      <c r="Q25" s="16" t="n">
        <v>3</v>
      </c>
      <c r="R25" s="16" t="n">
        <v>2</v>
      </c>
      <c r="S25" s="16" t="n">
        <v>2</v>
      </c>
      <c r="T25" s="16" t="n">
        <v>3</v>
      </c>
      <c r="U25" s="16" t="n">
        <v>2</v>
      </c>
      <c r="V25" s="16" t="n">
        <v>3.2</v>
      </c>
      <c r="W25" s="17">
        <f>AVERAGE(E25:N25)</f>
        <v/>
      </c>
      <c r="X25" s="17">
        <f>AVERAGE(O25:U25)</f>
        <v/>
      </c>
    </row>
    <row r="26">
      <c r="A26" s="16" t="inlineStr">
        <is>
          <t>P025</t>
        </is>
      </c>
      <c r="B26" s="16" t="n">
        <v>2</v>
      </c>
      <c r="C26" s="16" t="n">
        <v>27</v>
      </c>
      <c r="D26" s="16" t="n">
        <v>1</v>
      </c>
      <c r="E26" s="16" t="n">
        <v>3</v>
      </c>
      <c r="F26" s="16" t="n">
        <v>3</v>
      </c>
      <c r="G26" s="16" t="n">
        <v>3</v>
      </c>
      <c r="H26" s="16" t="n">
        <v>2</v>
      </c>
      <c r="I26" s="16" t="n">
        <v>3</v>
      </c>
      <c r="J26" s="16" t="n">
        <v>1</v>
      </c>
      <c r="K26" s="16" t="n">
        <v>5</v>
      </c>
      <c r="L26" s="16" t="n">
        <v>3</v>
      </c>
      <c r="M26" s="16" t="n">
        <v>2</v>
      </c>
      <c r="N26" s="16" t="n">
        <v>2</v>
      </c>
      <c r="O26" s="16" t="n">
        <v>3</v>
      </c>
      <c r="P26" s="16" t="n">
        <v>2</v>
      </c>
      <c r="Q26" s="16" t="n">
        <v>1</v>
      </c>
      <c r="R26" s="16" t="n">
        <v>3</v>
      </c>
      <c r="S26" s="16" t="n">
        <v>3</v>
      </c>
      <c r="T26" s="16" t="n">
        <v>2</v>
      </c>
      <c r="U26" s="16" t="n">
        <v>2</v>
      </c>
      <c r="V26" s="16" t="n">
        <v>2.5</v>
      </c>
      <c r="W26" s="17">
        <f>AVERAGE(E26:N26)</f>
        <v/>
      </c>
      <c r="X26" s="17">
        <f>AVERAGE(O26:U26)</f>
        <v/>
      </c>
    </row>
    <row r="27">
      <c r="A27" s="16" t="inlineStr">
        <is>
          <t>P026</t>
        </is>
      </c>
      <c r="B27" s="16" t="n">
        <v>1</v>
      </c>
      <c r="C27" s="16" t="n">
        <v>26</v>
      </c>
      <c r="D27" s="16" t="n">
        <v>2</v>
      </c>
      <c r="E27" s="16" t="n">
        <v>2</v>
      </c>
      <c r="F27" s="16" t="n">
        <v>3</v>
      </c>
      <c r="G27" s="16" t="n">
        <v>3</v>
      </c>
      <c r="H27" s="16" t="n">
        <v>2</v>
      </c>
      <c r="I27" s="16" t="n">
        <v>2</v>
      </c>
      <c r="J27" s="16" t="n">
        <v>1</v>
      </c>
      <c r="K27" s="16" t="n">
        <v>3</v>
      </c>
      <c r="L27" s="16" t="n">
        <v>3</v>
      </c>
      <c r="M27" s="16" t="n">
        <v>3</v>
      </c>
      <c r="N27" s="16" t="n">
        <v>3</v>
      </c>
      <c r="O27" s="16" t="n">
        <v>4</v>
      </c>
      <c r="P27" s="16" t="n">
        <v>3</v>
      </c>
      <c r="Q27" s="16" t="n">
        <v>3</v>
      </c>
      <c r="R27" s="16" t="n">
        <v>3</v>
      </c>
      <c r="S27" s="16" t="n">
        <v>3</v>
      </c>
      <c r="T27" s="16" t="n">
        <v>3</v>
      </c>
      <c r="U27" s="16" t="n">
        <v>3</v>
      </c>
      <c r="V27" s="16" t="n">
        <v>3.17</v>
      </c>
      <c r="W27" s="17">
        <f>AVERAGE(E27:N27)</f>
        <v/>
      </c>
      <c r="X27" s="17">
        <f>AVERAGE(O27:U27)</f>
        <v/>
      </c>
    </row>
    <row r="28">
      <c r="A28" s="16" t="inlineStr">
        <is>
          <t>P027</t>
        </is>
      </c>
      <c r="B28" s="16" t="n">
        <v>2</v>
      </c>
      <c r="C28" s="16" t="n">
        <v>24</v>
      </c>
      <c r="D28" s="16" t="n">
        <v>2</v>
      </c>
      <c r="E28" s="16" t="n">
        <v>2</v>
      </c>
      <c r="F28" s="16" t="n">
        <v>3</v>
      </c>
      <c r="G28" s="16" t="n">
        <v>2</v>
      </c>
      <c r="H28" s="16" t="n">
        <v>1</v>
      </c>
      <c r="I28" s="16" t="n">
        <v>2</v>
      </c>
      <c r="J28" s="16" t="n">
        <v>1</v>
      </c>
      <c r="K28" s="16" t="n">
        <v>2</v>
      </c>
      <c r="L28" s="16" t="n">
        <v>2</v>
      </c>
      <c r="M28" s="16" t="n">
        <v>3</v>
      </c>
      <c r="N28" s="16" t="n">
        <v>2</v>
      </c>
      <c r="O28" s="16" t="n">
        <v>4</v>
      </c>
      <c r="P28" s="16" t="n">
        <v>3</v>
      </c>
      <c r="Q28" s="16" t="n">
        <v>3</v>
      </c>
      <c r="R28" s="16" t="n">
        <v>2</v>
      </c>
      <c r="S28" s="16" t="n">
        <v>3</v>
      </c>
      <c r="T28" s="16" t="n">
        <v>2</v>
      </c>
      <c r="U28" s="16" t="n">
        <v>4</v>
      </c>
      <c r="V28" s="16" t="n">
        <v>3.1</v>
      </c>
      <c r="W28" s="17">
        <f>AVERAGE(E28:N28)</f>
        <v/>
      </c>
      <c r="X28" s="17">
        <f>AVERAGE(O28:U28)</f>
        <v/>
      </c>
    </row>
    <row r="29">
      <c r="A29" s="16" t="inlineStr">
        <is>
          <t>P028</t>
        </is>
      </c>
      <c r="B29" s="16" t="n">
        <v>1</v>
      </c>
      <c r="C29" s="16" t="n">
        <v>28</v>
      </c>
      <c r="D29" s="16" t="n">
        <v>2</v>
      </c>
      <c r="E29" s="16" t="n">
        <v>2</v>
      </c>
      <c r="F29" s="16" t="n">
        <v>2</v>
      </c>
      <c r="G29" s="16" t="n">
        <v>2</v>
      </c>
      <c r="H29" s="16" t="n">
        <v>1</v>
      </c>
      <c r="I29" s="16" t="n">
        <v>2</v>
      </c>
      <c r="J29" s="16" t="n">
        <v>3</v>
      </c>
      <c r="K29" s="16" t="n">
        <v>2</v>
      </c>
      <c r="L29" s="16" t="n">
        <v>2</v>
      </c>
      <c r="M29" s="16" t="n">
        <v>1</v>
      </c>
      <c r="N29" s="16" t="n">
        <v>1</v>
      </c>
      <c r="O29" s="16" t="n">
        <v>4</v>
      </c>
      <c r="P29" s="16" t="n">
        <v>4</v>
      </c>
      <c r="Q29" s="16" t="n">
        <v>4</v>
      </c>
      <c r="R29" s="16" t="n">
        <v>3</v>
      </c>
      <c r="S29" s="16" t="n">
        <v>4</v>
      </c>
      <c r="T29" s="16" t="n">
        <v>3</v>
      </c>
      <c r="U29" s="16" t="n">
        <v>3</v>
      </c>
      <c r="V29" s="16" t="n">
        <v>2.58</v>
      </c>
      <c r="W29" s="17">
        <f>AVERAGE(E29:N29)</f>
        <v/>
      </c>
      <c r="X29" s="17">
        <f>AVERAGE(O29:U29)</f>
        <v/>
      </c>
    </row>
    <row r="30">
      <c r="A30" s="16" t="inlineStr">
        <is>
          <t>P029</t>
        </is>
      </c>
      <c r="B30" s="16" t="n">
        <v>2</v>
      </c>
      <c r="C30" s="16" t="n">
        <v>22</v>
      </c>
      <c r="D30" s="16" t="n">
        <v>2</v>
      </c>
      <c r="E30" s="16" t="n">
        <v>3</v>
      </c>
      <c r="F30" s="16" t="n">
        <v>3</v>
      </c>
      <c r="G30" s="16" t="n">
        <v>2</v>
      </c>
      <c r="H30" s="16" t="n">
        <v>2</v>
      </c>
      <c r="I30" s="16" t="n">
        <v>2</v>
      </c>
      <c r="J30" s="16" t="n">
        <v>1</v>
      </c>
      <c r="K30" s="16" t="n">
        <v>2</v>
      </c>
      <c r="L30" s="16" t="n">
        <v>2</v>
      </c>
      <c r="M30" s="16" t="n">
        <v>3</v>
      </c>
      <c r="N30" s="16" t="n">
        <v>2</v>
      </c>
      <c r="O30" s="16" t="n">
        <v>3</v>
      </c>
      <c r="P30" s="16" t="n">
        <v>4</v>
      </c>
      <c r="Q30" s="16" t="n">
        <v>3</v>
      </c>
      <c r="R30" s="16" t="n">
        <v>4</v>
      </c>
      <c r="S30" s="16" t="n">
        <v>3</v>
      </c>
      <c r="T30" s="16" t="n">
        <v>4</v>
      </c>
      <c r="U30" s="16" t="n">
        <v>3</v>
      </c>
      <c r="V30" s="16" t="n">
        <v>3.04</v>
      </c>
      <c r="W30" s="17">
        <f>AVERAGE(E30:N30)</f>
        <v/>
      </c>
      <c r="X30" s="17">
        <f>AVERAGE(O30:U30)</f>
        <v/>
      </c>
    </row>
    <row r="31">
      <c r="A31" s="16" t="inlineStr">
        <is>
          <t>P030</t>
        </is>
      </c>
      <c r="B31" s="16" t="n">
        <v>2</v>
      </c>
      <c r="C31" s="16" t="n">
        <v>26</v>
      </c>
      <c r="D31" s="16" t="n">
        <v>2</v>
      </c>
      <c r="E31" s="16" t="n">
        <v>2</v>
      </c>
      <c r="F31" s="16" t="n">
        <v>1</v>
      </c>
      <c r="G31" s="16" t="n">
        <v>2</v>
      </c>
      <c r="H31" s="16" t="n">
        <v>1</v>
      </c>
      <c r="I31" s="16" t="n">
        <v>2</v>
      </c>
      <c r="J31" s="16" t="n">
        <v>4</v>
      </c>
      <c r="K31" s="16" t="n">
        <v>1</v>
      </c>
      <c r="L31" s="16" t="n">
        <v>2</v>
      </c>
      <c r="M31" s="16" t="n">
        <v>1</v>
      </c>
      <c r="N31" s="16" t="n">
        <v>3</v>
      </c>
      <c r="O31" s="16" t="n">
        <v>3</v>
      </c>
      <c r="P31" s="16" t="n">
        <v>5</v>
      </c>
      <c r="Q31" s="16" t="n">
        <v>3</v>
      </c>
      <c r="R31" s="16" t="n">
        <v>3</v>
      </c>
      <c r="S31" s="16" t="n">
        <v>4</v>
      </c>
      <c r="T31" s="16" t="n">
        <v>3</v>
      </c>
      <c r="U31" s="16" t="n">
        <v>2</v>
      </c>
      <c r="V31" s="16" t="n">
        <v>3.23</v>
      </c>
      <c r="W31" s="17">
        <f>AVERAGE(E31:N31)</f>
        <v/>
      </c>
      <c r="X31" s="17">
        <f>AVERAGE(O31:U31)</f>
        <v/>
      </c>
    </row>
    <row r="32">
      <c r="A32" s="16" t="inlineStr">
        <is>
          <t>P031</t>
        </is>
      </c>
      <c r="B32" s="16" t="n">
        <v>2</v>
      </c>
      <c r="C32" s="16" t="n">
        <v>24</v>
      </c>
      <c r="D32" s="16" t="n">
        <v>2</v>
      </c>
      <c r="E32" s="16" t="n">
        <v>4</v>
      </c>
      <c r="F32" s="16" t="n">
        <v>2</v>
      </c>
      <c r="G32" s="16" t="n">
        <v>2</v>
      </c>
      <c r="H32" s="16" t="n">
        <v>3</v>
      </c>
      <c r="I32" s="16" t="n">
        <v>2</v>
      </c>
      <c r="J32" s="16" t="n">
        <v>1</v>
      </c>
      <c r="K32" s="16" t="n">
        <v>3</v>
      </c>
      <c r="L32" s="16" t="n">
        <v>1</v>
      </c>
      <c r="M32" s="16" t="n">
        <v>2</v>
      </c>
      <c r="N32" s="16" t="n">
        <v>2</v>
      </c>
      <c r="O32" s="16" t="n">
        <v>4</v>
      </c>
      <c r="P32" s="16" t="n">
        <v>3</v>
      </c>
      <c r="Q32" s="16" t="n">
        <v>3</v>
      </c>
      <c r="R32" s="16" t="n">
        <v>3</v>
      </c>
      <c r="S32" s="16" t="n">
        <v>3</v>
      </c>
      <c r="T32" s="16" t="n">
        <v>2</v>
      </c>
      <c r="U32" s="16" t="n">
        <v>3</v>
      </c>
      <c r="V32" s="16" t="n">
        <v>2.92</v>
      </c>
      <c r="W32" s="17">
        <f>AVERAGE(E32:N32)</f>
        <v/>
      </c>
      <c r="X32" s="17">
        <f>AVERAGE(O32:U32)</f>
        <v/>
      </c>
    </row>
    <row r="33">
      <c r="A33" s="16" t="inlineStr">
        <is>
          <t>P032</t>
        </is>
      </c>
      <c r="B33" s="16" t="n">
        <v>1</v>
      </c>
      <c r="C33" s="16" t="n">
        <v>20</v>
      </c>
      <c r="D33" s="16" t="n">
        <v>2</v>
      </c>
      <c r="E33" s="16" t="n">
        <v>2</v>
      </c>
      <c r="F33" s="16" t="n">
        <v>3</v>
      </c>
      <c r="G33" s="16" t="n">
        <v>2</v>
      </c>
      <c r="H33" s="16" t="n">
        <v>3</v>
      </c>
      <c r="I33" s="16" t="n">
        <v>1</v>
      </c>
      <c r="J33" s="16" t="n">
        <v>3</v>
      </c>
      <c r="K33" s="16" t="n">
        <v>1</v>
      </c>
      <c r="L33" s="16" t="n">
        <v>4</v>
      </c>
      <c r="M33" s="16" t="n">
        <v>1</v>
      </c>
      <c r="N33" s="16" t="n">
        <v>2</v>
      </c>
      <c r="O33" s="16" t="n">
        <v>3</v>
      </c>
      <c r="P33" s="16" t="n">
        <v>3</v>
      </c>
      <c r="Q33" s="16" t="n">
        <v>3</v>
      </c>
      <c r="R33" s="16" t="n">
        <v>4</v>
      </c>
      <c r="S33" s="16" t="n">
        <v>3</v>
      </c>
      <c r="T33" s="16" t="n">
        <v>4</v>
      </c>
      <c r="U33" s="16" t="n">
        <v>4</v>
      </c>
      <c r="V33" s="16" t="n">
        <v>3.03</v>
      </c>
      <c r="W33" s="17">
        <f>AVERAGE(E33:N33)</f>
        <v/>
      </c>
      <c r="X33" s="17">
        <f>AVERAGE(O33:U33)</f>
        <v/>
      </c>
    </row>
    <row r="34">
      <c r="A34" s="16" t="inlineStr">
        <is>
          <t>P033</t>
        </is>
      </c>
      <c r="B34" s="16" t="n">
        <v>1</v>
      </c>
      <c r="C34" s="16" t="n">
        <v>22</v>
      </c>
      <c r="D34" s="16" t="n">
        <v>2</v>
      </c>
      <c r="E34" s="16" t="n">
        <v>2</v>
      </c>
      <c r="F34" s="16" t="n">
        <v>1</v>
      </c>
      <c r="G34" s="16" t="n">
        <v>1</v>
      </c>
      <c r="H34" s="16" t="n">
        <v>1</v>
      </c>
      <c r="I34" s="16" t="n">
        <v>1</v>
      </c>
      <c r="J34" s="16" t="n">
        <v>1</v>
      </c>
      <c r="K34" s="16" t="n">
        <v>2</v>
      </c>
      <c r="L34" s="16" t="n">
        <v>2</v>
      </c>
      <c r="M34" s="16" t="n">
        <v>2</v>
      </c>
      <c r="N34" s="16" t="n">
        <v>3</v>
      </c>
      <c r="O34" s="16" t="n">
        <v>3</v>
      </c>
      <c r="P34" s="16" t="n">
        <v>3</v>
      </c>
      <c r="Q34" s="16" t="n">
        <v>4</v>
      </c>
      <c r="R34" s="16" t="n">
        <v>3</v>
      </c>
      <c r="S34" s="16" t="n">
        <v>3</v>
      </c>
      <c r="T34" s="16" t="n">
        <v>5</v>
      </c>
      <c r="U34" s="16" t="n">
        <v>3</v>
      </c>
      <c r="V34" s="16" t="n">
        <v>2.83</v>
      </c>
      <c r="W34" s="17">
        <f>AVERAGE(E34:N34)</f>
        <v/>
      </c>
      <c r="X34" s="17">
        <f>AVERAGE(O34:U34)</f>
        <v/>
      </c>
    </row>
    <row r="35">
      <c r="A35" s="16" t="inlineStr">
        <is>
          <t>P034</t>
        </is>
      </c>
      <c r="B35" s="16" t="n">
        <v>1</v>
      </c>
      <c r="C35" s="16" t="n">
        <v>19</v>
      </c>
      <c r="D35" s="16" t="n">
        <v>2</v>
      </c>
      <c r="E35" s="16" t="n">
        <v>1</v>
      </c>
      <c r="F35" s="16" t="n">
        <v>2</v>
      </c>
      <c r="G35" s="16" t="n">
        <v>2</v>
      </c>
      <c r="H35" s="16" t="n">
        <v>2</v>
      </c>
      <c r="I35" s="16" t="n">
        <v>4</v>
      </c>
      <c r="J35" s="16" t="n">
        <v>3</v>
      </c>
      <c r="K35" s="16" t="n">
        <v>1</v>
      </c>
      <c r="L35" s="16" t="n">
        <v>2</v>
      </c>
      <c r="M35" s="16" t="n">
        <v>2</v>
      </c>
      <c r="N35" s="16" t="n">
        <v>2</v>
      </c>
      <c r="O35" s="16" t="n">
        <v>3</v>
      </c>
      <c r="P35" s="16" t="n">
        <v>3</v>
      </c>
      <c r="Q35" s="16" t="n">
        <v>4</v>
      </c>
      <c r="R35" s="16" t="n">
        <v>4</v>
      </c>
      <c r="S35" s="16" t="n">
        <v>3</v>
      </c>
      <c r="T35" s="16" t="n">
        <v>5</v>
      </c>
      <c r="U35" s="16" t="n">
        <v>4</v>
      </c>
      <c r="V35" s="16" t="n">
        <v>3.44</v>
      </c>
      <c r="W35" s="17">
        <f>AVERAGE(E35:N35)</f>
        <v/>
      </c>
      <c r="X35" s="17">
        <f>AVERAGE(O35:U35)</f>
        <v/>
      </c>
    </row>
    <row r="36">
      <c r="A36" s="16" t="inlineStr">
        <is>
          <t>P035</t>
        </is>
      </c>
      <c r="B36" s="16" t="n">
        <v>1</v>
      </c>
      <c r="C36" s="16" t="n">
        <v>28</v>
      </c>
      <c r="D36" s="16" t="n">
        <v>2</v>
      </c>
      <c r="E36" s="16" t="n">
        <v>2</v>
      </c>
      <c r="F36" s="16" t="n">
        <v>2</v>
      </c>
      <c r="G36" s="16" t="n">
        <v>1</v>
      </c>
      <c r="H36" s="16" t="n">
        <v>2</v>
      </c>
      <c r="I36" s="16" t="n">
        <v>1</v>
      </c>
      <c r="J36" s="16" t="n">
        <v>3</v>
      </c>
      <c r="K36" s="16" t="n">
        <v>3</v>
      </c>
      <c r="L36" s="16" t="n">
        <v>2</v>
      </c>
      <c r="M36" s="16" t="n">
        <v>1</v>
      </c>
      <c r="N36" s="16" t="n">
        <v>1</v>
      </c>
      <c r="O36" s="16" t="n">
        <v>3</v>
      </c>
      <c r="P36" s="16" t="n">
        <v>2</v>
      </c>
      <c r="Q36" s="16" t="n">
        <v>3</v>
      </c>
      <c r="R36" s="16" t="n">
        <v>4</v>
      </c>
      <c r="S36" s="16" t="n">
        <v>3</v>
      </c>
      <c r="T36" s="16" t="n">
        <v>3</v>
      </c>
      <c r="U36" s="16" t="n">
        <v>3</v>
      </c>
      <c r="V36" s="16" t="n">
        <v>3.24</v>
      </c>
      <c r="W36" s="17">
        <f>AVERAGE(E36:N36)</f>
        <v/>
      </c>
      <c r="X36" s="17">
        <f>AVERAGE(O36:U36)</f>
        <v/>
      </c>
    </row>
    <row r="37">
      <c r="A37" s="16" t="inlineStr">
        <is>
          <t>P036</t>
        </is>
      </c>
      <c r="B37" s="16" t="n">
        <v>1</v>
      </c>
      <c r="C37" s="16" t="n">
        <v>25</v>
      </c>
      <c r="D37" s="16" t="n">
        <v>2</v>
      </c>
      <c r="E37" s="16" t="n">
        <v>1</v>
      </c>
      <c r="F37" s="16" t="n">
        <v>2</v>
      </c>
      <c r="G37" s="16" t="n">
        <v>2</v>
      </c>
      <c r="H37" s="16" t="n">
        <v>3</v>
      </c>
      <c r="I37" s="16" t="n">
        <v>2</v>
      </c>
      <c r="J37" s="16" t="n">
        <v>1</v>
      </c>
      <c r="K37" s="16" t="n">
        <v>1</v>
      </c>
      <c r="L37" s="16" t="n">
        <v>2</v>
      </c>
      <c r="M37" s="16" t="n">
        <v>3</v>
      </c>
      <c r="N37" s="16" t="n">
        <v>1</v>
      </c>
      <c r="O37" s="16" t="n">
        <v>3</v>
      </c>
      <c r="P37" s="16" t="n">
        <v>3</v>
      </c>
      <c r="Q37" s="16" t="n">
        <v>4</v>
      </c>
      <c r="R37" s="16" t="n">
        <v>3</v>
      </c>
      <c r="S37" s="16" t="n">
        <v>2</v>
      </c>
      <c r="T37" s="16" t="n">
        <v>3</v>
      </c>
      <c r="U37" s="16" t="n">
        <v>4</v>
      </c>
      <c r="V37" s="16" t="n">
        <v>2.9</v>
      </c>
      <c r="W37" s="17">
        <f>AVERAGE(E37:N37)</f>
        <v/>
      </c>
      <c r="X37" s="17">
        <f>AVERAGE(O37:U37)</f>
        <v/>
      </c>
    </row>
    <row r="38">
      <c r="A38" s="16" t="inlineStr">
        <is>
          <t>P037</t>
        </is>
      </c>
      <c r="B38" s="16" t="n">
        <v>1</v>
      </c>
      <c r="C38" s="16" t="n">
        <v>19</v>
      </c>
      <c r="D38" s="16" t="n">
        <v>2</v>
      </c>
      <c r="E38" s="16" t="n">
        <v>2</v>
      </c>
      <c r="F38" s="16" t="n">
        <v>3</v>
      </c>
      <c r="G38" s="16" t="n">
        <v>2</v>
      </c>
      <c r="H38" s="16" t="n">
        <v>1</v>
      </c>
      <c r="I38" s="16" t="n">
        <v>2</v>
      </c>
      <c r="J38" s="16" t="n">
        <v>3</v>
      </c>
      <c r="K38" s="16" t="n">
        <v>2</v>
      </c>
      <c r="L38" s="16" t="n">
        <v>1</v>
      </c>
      <c r="M38" s="16" t="n">
        <v>3</v>
      </c>
      <c r="N38" s="16" t="n">
        <v>2</v>
      </c>
      <c r="O38" s="16" t="n">
        <v>3</v>
      </c>
      <c r="P38" s="16" t="n">
        <v>3</v>
      </c>
      <c r="Q38" s="16" t="n">
        <v>4</v>
      </c>
      <c r="R38" s="16" t="n">
        <v>3</v>
      </c>
      <c r="S38" s="16" t="n">
        <v>3</v>
      </c>
      <c r="T38" s="16" t="n">
        <v>4</v>
      </c>
      <c r="U38" s="16" t="n">
        <v>5</v>
      </c>
      <c r="V38" s="16" t="n">
        <v>3.5</v>
      </c>
      <c r="W38" s="17">
        <f>AVERAGE(E38:N38)</f>
        <v/>
      </c>
      <c r="X38" s="17">
        <f>AVERAGE(O38:U38)</f>
        <v/>
      </c>
    </row>
    <row r="39">
      <c r="A39" s="16" t="inlineStr">
        <is>
          <t>P038</t>
        </is>
      </c>
      <c r="B39" s="16" t="n">
        <v>1</v>
      </c>
      <c r="C39" s="16" t="n">
        <v>28</v>
      </c>
      <c r="D39" s="16" t="n">
        <v>2</v>
      </c>
      <c r="E39" s="16" t="n">
        <v>5</v>
      </c>
      <c r="F39" s="16" t="n">
        <v>1</v>
      </c>
      <c r="G39" s="16" t="n">
        <v>2</v>
      </c>
      <c r="H39" s="16" t="n">
        <v>2</v>
      </c>
      <c r="I39" s="16" t="n">
        <v>3</v>
      </c>
      <c r="J39" s="16" t="n">
        <v>2</v>
      </c>
      <c r="K39" s="16" t="n">
        <v>1</v>
      </c>
      <c r="L39" s="16" t="n">
        <v>2</v>
      </c>
      <c r="M39" s="16" t="n">
        <v>3</v>
      </c>
      <c r="N39" s="16" t="n">
        <v>2</v>
      </c>
      <c r="O39" s="16" t="n">
        <v>2</v>
      </c>
      <c r="P39" s="16" t="n">
        <v>3</v>
      </c>
      <c r="Q39" s="16" t="n">
        <v>3</v>
      </c>
      <c r="R39" s="16" t="n">
        <v>3</v>
      </c>
      <c r="S39" s="16" t="n">
        <v>3</v>
      </c>
      <c r="T39" s="16" t="n">
        <v>4</v>
      </c>
      <c r="U39" s="16" t="n">
        <v>3</v>
      </c>
      <c r="V39" s="16" t="n">
        <v>2.72</v>
      </c>
      <c r="W39" s="17">
        <f>AVERAGE(E39:N39)</f>
        <v/>
      </c>
      <c r="X39" s="17">
        <f>AVERAGE(O39:U39)</f>
        <v/>
      </c>
    </row>
    <row r="40">
      <c r="A40" s="16" t="inlineStr">
        <is>
          <t>P039</t>
        </is>
      </c>
      <c r="B40" s="16" t="n">
        <v>2</v>
      </c>
      <c r="C40" s="16" t="n">
        <v>25</v>
      </c>
      <c r="D40" s="16" t="n">
        <v>2</v>
      </c>
      <c r="E40" s="16" t="n">
        <v>2</v>
      </c>
      <c r="F40" s="16" t="n">
        <v>1</v>
      </c>
      <c r="G40" s="16" t="n">
        <v>3</v>
      </c>
      <c r="H40" s="16" t="n">
        <v>2</v>
      </c>
      <c r="I40" s="16" t="n">
        <v>1</v>
      </c>
      <c r="J40" s="16" t="n">
        <v>2</v>
      </c>
      <c r="K40" s="16" t="n">
        <v>2</v>
      </c>
      <c r="L40" s="16" t="n">
        <v>3</v>
      </c>
      <c r="M40" s="16" t="n">
        <v>3</v>
      </c>
      <c r="N40" s="16" t="n">
        <v>2</v>
      </c>
      <c r="O40" s="16" t="n">
        <v>1</v>
      </c>
      <c r="P40" s="16" t="n">
        <v>3</v>
      </c>
      <c r="Q40" s="16" t="n">
        <v>3</v>
      </c>
      <c r="R40" s="16" t="n">
        <v>3</v>
      </c>
      <c r="S40" s="16" t="n">
        <v>3</v>
      </c>
      <c r="T40" s="16" t="n">
        <v>4</v>
      </c>
      <c r="U40" s="16" t="n">
        <v>3</v>
      </c>
      <c r="V40" s="16" t="n">
        <v>3.47</v>
      </c>
      <c r="W40" s="17">
        <f>AVERAGE(E40:N40)</f>
        <v/>
      </c>
      <c r="X40" s="17">
        <f>AVERAGE(O40:U40)</f>
        <v/>
      </c>
    </row>
    <row r="41">
      <c r="A41" s="16" t="inlineStr">
        <is>
          <t>P040</t>
        </is>
      </c>
      <c r="B41" s="16" t="n">
        <v>2</v>
      </c>
      <c r="C41" s="16" t="n">
        <v>26</v>
      </c>
      <c r="D41" s="16" t="n">
        <v>2</v>
      </c>
      <c r="E41" s="16" t="n">
        <v>2</v>
      </c>
      <c r="F41" s="16" t="n">
        <v>2</v>
      </c>
      <c r="G41" s="16" t="n">
        <v>1</v>
      </c>
      <c r="H41" s="16" t="n">
        <v>2</v>
      </c>
      <c r="I41" s="16" t="n">
        <v>1</v>
      </c>
      <c r="J41" s="16" t="n">
        <v>3</v>
      </c>
      <c r="K41" s="16" t="n">
        <v>4</v>
      </c>
      <c r="L41" s="16" t="n">
        <v>4</v>
      </c>
      <c r="M41" s="16" t="n">
        <v>2</v>
      </c>
      <c r="N41" s="16" t="n">
        <v>2</v>
      </c>
      <c r="O41" s="16" t="n">
        <v>4</v>
      </c>
      <c r="P41" s="16" t="n">
        <v>4</v>
      </c>
      <c r="Q41" s="16" t="n">
        <v>3</v>
      </c>
      <c r="R41" s="16" t="n">
        <v>3</v>
      </c>
      <c r="S41" s="16" t="n">
        <v>5</v>
      </c>
      <c r="T41" s="16" t="n">
        <v>3</v>
      </c>
      <c r="U41" s="16" t="n">
        <v>3</v>
      </c>
      <c r="V41" s="16" t="n">
        <v>3.18</v>
      </c>
      <c r="W41" s="17">
        <f>AVERAGE(E41:N41)</f>
        <v/>
      </c>
      <c r="X41" s="17">
        <f>AVERAGE(O41:U41)</f>
        <v/>
      </c>
    </row>
    <row r="42">
      <c r="A42" s="16" t="inlineStr">
        <is>
          <t>P041</t>
        </is>
      </c>
      <c r="B42" s="16" t="n">
        <v>1</v>
      </c>
      <c r="C42" s="16" t="n">
        <v>26</v>
      </c>
      <c r="D42" s="16" t="n">
        <v>2</v>
      </c>
      <c r="E42" s="16" t="n">
        <v>3</v>
      </c>
      <c r="F42" s="16" t="n">
        <v>2</v>
      </c>
      <c r="G42" s="16" t="n">
        <v>2</v>
      </c>
      <c r="H42" s="16" t="n">
        <v>1</v>
      </c>
      <c r="I42" s="16" t="n">
        <v>1</v>
      </c>
      <c r="J42" s="16" t="n">
        <v>2</v>
      </c>
      <c r="K42" s="16" t="n">
        <v>2</v>
      </c>
      <c r="L42" s="16" t="n">
        <v>2</v>
      </c>
      <c r="M42" s="16" t="n">
        <v>2</v>
      </c>
      <c r="N42" s="16" t="n">
        <v>3</v>
      </c>
      <c r="O42" s="16" t="n">
        <v>3</v>
      </c>
      <c r="P42" s="16" t="n">
        <v>3</v>
      </c>
      <c r="Q42" s="16" t="n">
        <v>4</v>
      </c>
      <c r="R42" s="16" t="n">
        <v>4</v>
      </c>
      <c r="S42" s="16" t="n">
        <v>4</v>
      </c>
      <c r="T42" s="16" t="n">
        <v>3</v>
      </c>
      <c r="U42" s="16" t="n">
        <v>3</v>
      </c>
      <c r="V42" s="16" t="n">
        <v>2.96</v>
      </c>
      <c r="W42" s="17">
        <f>AVERAGE(E42:N42)</f>
        <v/>
      </c>
      <c r="X42" s="17">
        <f>AVERAGE(O42:U42)</f>
        <v/>
      </c>
    </row>
    <row r="43">
      <c r="A43" s="16" t="inlineStr">
        <is>
          <t>P042</t>
        </is>
      </c>
      <c r="B43" s="16" t="n">
        <v>1</v>
      </c>
      <c r="C43" s="16" t="n">
        <v>23</v>
      </c>
      <c r="D43" s="16" t="n">
        <v>2</v>
      </c>
      <c r="E43" s="16" t="n">
        <v>2</v>
      </c>
      <c r="F43" s="16" t="n">
        <v>1</v>
      </c>
      <c r="G43" s="16" t="n">
        <v>1</v>
      </c>
      <c r="H43" s="16" t="n">
        <v>2</v>
      </c>
      <c r="I43" s="16" t="n">
        <v>3</v>
      </c>
      <c r="J43" s="16" t="n">
        <v>1</v>
      </c>
      <c r="K43" s="16" t="n">
        <v>1</v>
      </c>
      <c r="L43" s="16" t="n">
        <v>2</v>
      </c>
      <c r="M43" s="16" t="n">
        <v>2</v>
      </c>
      <c r="N43" s="16" t="n">
        <v>1</v>
      </c>
      <c r="O43" s="16" t="n">
        <v>5</v>
      </c>
      <c r="P43" s="16" t="n">
        <v>3</v>
      </c>
      <c r="Q43" s="16" t="n">
        <v>4</v>
      </c>
      <c r="R43" s="16" t="n">
        <v>3</v>
      </c>
      <c r="S43" s="16" t="n">
        <v>2</v>
      </c>
      <c r="T43" s="16" t="n">
        <v>4</v>
      </c>
      <c r="U43" s="16" t="n">
        <v>3</v>
      </c>
      <c r="V43" s="16" t="n">
        <v>3.27</v>
      </c>
      <c r="W43" s="17">
        <f>AVERAGE(E43:N43)</f>
        <v/>
      </c>
      <c r="X43" s="17">
        <f>AVERAGE(O43:U43)</f>
        <v/>
      </c>
    </row>
    <row r="44">
      <c r="A44" s="16" t="inlineStr">
        <is>
          <t>P043</t>
        </is>
      </c>
      <c r="B44" s="16" t="n">
        <v>2</v>
      </c>
      <c r="C44" s="16" t="n">
        <v>25</v>
      </c>
      <c r="D44" s="16" t="n">
        <v>2</v>
      </c>
      <c r="E44" s="16" t="n">
        <v>1</v>
      </c>
      <c r="F44" s="16" t="n">
        <v>3</v>
      </c>
      <c r="G44" s="16" t="n">
        <v>3</v>
      </c>
      <c r="H44" s="16" t="n">
        <v>1</v>
      </c>
      <c r="I44" s="16" t="n">
        <v>2</v>
      </c>
      <c r="J44" s="16" t="n">
        <v>2</v>
      </c>
      <c r="K44" s="16" t="n">
        <v>1</v>
      </c>
      <c r="L44" s="16" t="n">
        <v>2</v>
      </c>
      <c r="M44" s="16" t="n">
        <v>3</v>
      </c>
      <c r="N44" s="16" t="n">
        <v>1</v>
      </c>
      <c r="O44" s="16" t="n">
        <v>3</v>
      </c>
      <c r="P44" s="16" t="n">
        <v>4</v>
      </c>
      <c r="Q44" s="16" t="n">
        <v>2</v>
      </c>
      <c r="R44" s="16" t="n">
        <v>4</v>
      </c>
      <c r="S44" s="16" t="n">
        <v>2</v>
      </c>
      <c r="T44" s="16" t="n">
        <v>4</v>
      </c>
      <c r="U44" s="16" t="n">
        <v>4</v>
      </c>
      <c r="V44" s="16" t="n">
        <v>3.38</v>
      </c>
      <c r="W44" s="17">
        <f>AVERAGE(E44:N44)</f>
        <v/>
      </c>
      <c r="X44" s="17">
        <f>AVERAGE(O44:U44)</f>
        <v/>
      </c>
    </row>
    <row r="45">
      <c r="A45" s="16" t="inlineStr">
        <is>
          <t>P044</t>
        </is>
      </c>
      <c r="B45" s="16" t="n">
        <v>2</v>
      </c>
      <c r="C45" s="16" t="n">
        <v>24</v>
      </c>
      <c r="D45" s="16" t="n">
        <v>2</v>
      </c>
      <c r="E45" s="16" t="n">
        <v>2</v>
      </c>
      <c r="F45" s="16" t="n">
        <v>2</v>
      </c>
      <c r="G45" s="16" t="n">
        <v>3</v>
      </c>
      <c r="H45" s="16" t="n">
        <v>2</v>
      </c>
      <c r="I45" s="16" t="n">
        <v>2</v>
      </c>
      <c r="J45" s="16" t="n">
        <v>1</v>
      </c>
      <c r="K45" s="16" t="n">
        <v>3</v>
      </c>
      <c r="L45" s="16" t="n">
        <v>2</v>
      </c>
      <c r="M45" s="16" t="n">
        <v>3</v>
      </c>
      <c r="N45" s="16" t="n">
        <v>1</v>
      </c>
      <c r="O45" s="16" t="n">
        <v>2</v>
      </c>
      <c r="P45" s="16" t="n">
        <v>3</v>
      </c>
      <c r="Q45" s="16" t="n">
        <v>3</v>
      </c>
      <c r="R45" s="16" t="n">
        <v>4</v>
      </c>
      <c r="S45" s="16" t="n">
        <v>3</v>
      </c>
      <c r="T45" s="16" t="n">
        <v>4</v>
      </c>
      <c r="U45" s="16" t="n">
        <v>5</v>
      </c>
      <c r="V45" s="16" t="n">
        <v>3.52</v>
      </c>
      <c r="W45" s="17">
        <f>AVERAGE(E45:N45)</f>
        <v/>
      </c>
      <c r="X45" s="17">
        <f>AVERAGE(O45:U45)</f>
        <v/>
      </c>
    </row>
    <row r="46">
      <c r="A46" s="16" t="inlineStr">
        <is>
          <t>P045</t>
        </is>
      </c>
      <c r="B46" s="16" t="n">
        <v>2</v>
      </c>
      <c r="C46" s="16" t="n">
        <v>20</v>
      </c>
      <c r="D46" s="16" t="n">
        <v>2</v>
      </c>
      <c r="E46" s="16" t="n">
        <v>1</v>
      </c>
      <c r="F46" s="16" t="n">
        <v>3</v>
      </c>
      <c r="G46" s="16" t="n">
        <v>2</v>
      </c>
      <c r="H46" s="16" t="n">
        <v>2</v>
      </c>
      <c r="I46" s="16" t="n">
        <v>2</v>
      </c>
      <c r="J46" s="16" t="n">
        <v>1</v>
      </c>
      <c r="K46" s="16" t="n">
        <v>2</v>
      </c>
      <c r="L46" s="16" t="n">
        <v>2</v>
      </c>
      <c r="M46" s="16" t="n">
        <v>1</v>
      </c>
      <c r="N46" s="16" t="n">
        <v>2</v>
      </c>
      <c r="O46" s="16" t="n">
        <v>3</v>
      </c>
      <c r="P46" s="16" t="n">
        <v>3</v>
      </c>
      <c r="Q46" s="16" t="n">
        <v>5</v>
      </c>
      <c r="R46" s="16" t="n">
        <v>4</v>
      </c>
      <c r="S46" s="16" t="n">
        <v>3</v>
      </c>
      <c r="T46" s="16" t="n">
        <v>3</v>
      </c>
      <c r="U46" s="16" t="n">
        <v>4</v>
      </c>
      <c r="V46" s="16" t="n">
        <v>3.08</v>
      </c>
      <c r="W46" s="17">
        <f>AVERAGE(E46:N46)</f>
        <v/>
      </c>
      <c r="X46" s="17">
        <f>AVERAGE(O46:U46)</f>
        <v/>
      </c>
    </row>
    <row r="47">
      <c r="A47" s="16" t="inlineStr">
        <is>
          <t>P046</t>
        </is>
      </c>
      <c r="B47" s="16" t="n">
        <v>2</v>
      </c>
      <c r="C47" s="16" t="n">
        <v>23</v>
      </c>
      <c r="D47" s="16" t="n">
        <v>2</v>
      </c>
      <c r="E47" s="16" t="n">
        <v>1</v>
      </c>
      <c r="F47" s="16" t="n">
        <v>2</v>
      </c>
      <c r="G47" s="16" t="n">
        <v>3</v>
      </c>
      <c r="H47" s="16" t="n">
        <v>2</v>
      </c>
      <c r="I47" s="16" t="n">
        <v>2</v>
      </c>
      <c r="J47" s="16" t="n">
        <v>3</v>
      </c>
      <c r="K47" s="16" t="n">
        <v>4</v>
      </c>
      <c r="L47" s="16" t="n">
        <v>3</v>
      </c>
      <c r="M47" s="16" t="n">
        <v>3</v>
      </c>
      <c r="N47" s="16" t="n">
        <v>2</v>
      </c>
      <c r="O47" s="16" t="n">
        <v>4</v>
      </c>
      <c r="P47" s="16" t="n">
        <v>3</v>
      </c>
      <c r="Q47" s="16" t="n">
        <v>3</v>
      </c>
      <c r="R47" s="16" t="n">
        <v>3</v>
      </c>
      <c r="S47" s="16" t="n">
        <v>5</v>
      </c>
      <c r="T47" s="16" t="n">
        <v>3</v>
      </c>
      <c r="U47" s="16" t="n">
        <v>4</v>
      </c>
      <c r="V47" s="16" t="n">
        <v>3.3</v>
      </c>
      <c r="W47" s="17">
        <f>AVERAGE(E47:N47)</f>
        <v/>
      </c>
      <c r="X47" s="17">
        <f>AVERAGE(O47:U47)</f>
        <v/>
      </c>
    </row>
    <row r="48">
      <c r="A48" s="16" t="inlineStr">
        <is>
          <t>P047</t>
        </is>
      </c>
      <c r="B48" s="16" t="n">
        <v>2</v>
      </c>
      <c r="C48" s="16" t="n">
        <v>28</v>
      </c>
      <c r="D48" s="16" t="n">
        <v>2</v>
      </c>
      <c r="E48" s="16" t="n">
        <v>2</v>
      </c>
      <c r="F48" s="16" t="n">
        <v>3</v>
      </c>
      <c r="G48" s="16" t="n">
        <v>4</v>
      </c>
      <c r="H48" s="16" t="n">
        <v>2</v>
      </c>
      <c r="I48" s="16" t="n">
        <v>2</v>
      </c>
      <c r="J48" s="16" t="n">
        <v>2</v>
      </c>
      <c r="K48" s="16" t="n">
        <v>3</v>
      </c>
      <c r="L48" s="16" t="n">
        <v>1</v>
      </c>
      <c r="M48" s="16" t="n">
        <v>4</v>
      </c>
      <c r="N48" s="16" t="n">
        <v>2</v>
      </c>
      <c r="O48" s="16" t="n">
        <v>3</v>
      </c>
      <c r="P48" s="16" t="n">
        <v>2</v>
      </c>
      <c r="Q48" s="16" t="n">
        <v>4</v>
      </c>
      <c r="R48" s="16" t="n">
        <v>3</v>
      </c>
      <c r="S48" s="16" t="n">
        <v>3</v>
      </c>
      <c r="T48" s="16" t="n">
        <v>5</v>
      </c>
      <c r="U48" s="16" t="n">
        <v>3</v>
      </c>
      <c r="V48" s="16" t="n">
        <v>3.31</v>
      </c>
      <c r="W48" s="17">
        <f>AVERAGE(E48:N48)</f>
        <v/>
      </c>
      <c r="X48" s="17">
        <f>AVERAGE(O48:U48)</f>
        <v/>
      </c>
    </row>
    <row r="49">
      <c r="A49" s="16" t="inlineStr">
        <is>
          <t>P048</t>
        </is>
      </c>
      <c r="B49" s="16" t="n">
        <v>2</v>
      </c>
      <c r="C49" s="16" t="n">
        <v>21</v>
      </c>
      <c r="D49" s="16" t="n">
        <v>2</v>
      </c>
      <c r="E49" s="16" t="n">
        <v>1</v>
      </c>
      <c r="F49" s="16" t="n">
        <v>1</v>
      </c>
      <c r="G49" s="16" t="n">
        <v>2</v>
      </c>
      <c r="H49" s="16" t="n">
        <v>2</v>
      </c>
      <c r="I49" s="16" t="n">
        <v>1</v>
      </c>
      <c r="J49" s="16" t="n">
        <v>2</v>
      </c>
      <c r="K49" s="16" t="n">
        <v>2</v>
      </c>
      <c r="L49" s="16" t="n">
        <v>2</v>
      </c>
      <c r="M49" s="16" t="n">
        <v>2</v>
      </c>
      <c r="N49" s="16" t="n">
        <v>3</v>
      </c>
      <c r="O49" s="16" t="n">
        <v>3</v>
      </c>
      <c r="P49" s="16" t="n">
        <v>4</v>
      </c>
      <c r="Q49" s="16" t="n">
        <v>1</v>
      </c>
      <c r="R49" s="16" t="n">
        <v>3</v>
      </c>
      <c r="S49" s="16" t="n">
        <v>2</v>
      </c>
      <c r="T49" s="16" t="n">
        <v>3</v>
      </c>
      <c r="U49" s="16" t="n">
        <v>4</v>
      </c>
      <c r="V49" s="16" t="n">
        <v>2.98</v>
      </c>
      <c r="W49" s="17">
        <f>AVERAGE(E49:N49)</f>
        <v/>
      </c>
      <c r="X49" s="17">
        <f>AVERAGE(O49:U49)</f>
        <v/>
      </c>
    </row>
    <row r="50">
      <c r="A50" s="16" t="inlineStr">
        <is>
          <t>P049</t>
        </is>
      </c>
      <c r="B50" s="16" t="n">
        <v>2</v>
      </c>
      <c r="C50" s="16" t="n">
        <v>23</v>
      </c>
      <c r="D50" s="16" t="n">
        <v>2</v>
      </c>
      <c r="E50" s="16" t="n">
        <v>2</v>
      </c>
      <c r="F50" s="16" t="n">
        <v>1</v>
      </c>
      <c r="G50" s="16" t="n">
        <v>4</v>
      </c>
      <c r="H50" s="16" t="n">
        <v>3</v>
      </c>
      <c r="I50" s="16" t="n">
        <v>3</v>
      </c>
      <c r="J50" s="16" t="n">
        <v>4</v>
      </c>
      <c r="K50" s="16" t="n">
        <v>3</v>
      </c>
      <c r="L50" s="16" t="n">
        <v>1</v>
      </c>
      <c r="M50" s="16" t="n">
        <v>4</v>
      </c>
      <c r="N50" s="16" t="n">
        <v>2</v>
      </c>
      <c r="O50" s="16" t="n">
        <v>4</v>
      </c>
      <c r="P50" s="16" t="n">
        <v>3</v>
      </c>
      <c r="Q50" s="16" t="n">
        <v>3</v>
      </c>
      <c r="R50" s="16" t="n">
        <v>3</v>
      </c>
      <c r="S50" s="16" t="n">
        <v>3</v>
      </c>
      <c r="T50" s="16" t="n">
        <v>3</v>
      </c>
      <c r="U50" s="16" t="n">
        <v>3</v>
      </c>
      <c r="V50" s="16" t="n">
        <v>2.82</v>
      </c>
      <c r="W50" s="17">
        <f>AVERAGE(E50:N50)</f>
        <v/>
      </c>
      <c r="X50" s="17">
        <f>AVERAGE(O50:U50)</f>
        <v/>
      </c>
    </row>
    <row r="51">
      <c r="A51" s="16" t="inlineStr">
        <is>
          <t>P050</t>
        </is>
      </c>
      <c r="B51" s="16" t="n">
        <v>1</v>
      </c>
      <c r="C51" s="16" t="n">
        <v>25</v>
      </c>
      <c r="D51" s="16" t="n">
        <v>2</v>
      </c>
      <c r="E51" s="16" t="n">
        <v>3</v>
      </c>
      <c r="F51" s="16" t="n">
        <v>1</v>
      </c>
      <c r="G51" s="16" t="n">
        <v>3</v>
      </c>
      <c r="H51" s="16" t="n">
        <v>2</v>
      </c>
      <c r="I51" s="16" t="n">
        <v>4</v>
      </c>
      <c r="J51" s="16" t="n">
        <v>2</v>
      </c>
      <c r="K51" s="16" t="n">
        <v>1</v>
      </c>
      <c r="L51" s="16" t="n">
        <v>1</v>
      </c>
      <c r="M51" s="16" t="n">
        <v>2</v>
      </c>
      <c r="N51" s="16" t="n">
        <v>2</v>
      </c>
      <c r="O51" s="16" t="n">
        <v>4</v>
      </c>
      <c r="P51" s="16" t="n">
        <v>2</v>
      </c>
      <c r="Q51" s="16" t="n">
        <v>3</v>
      </c>
      <c r="R51" s="16" t="n">
        <v>4</v>
      </c>
      <c r="S51" s="16" t="n">
        <v>4</v>
      </c>
      <c r="T51" s="16" t="n">
        <v>5</v>
      </c>
      <c r="U51" s="16" t="n">
        <v>3</v>
      </c>
      <c r="V51" s="16" t="n">
        <v>3.42</v>
      </c>
      <c r="W51" s="17">
        <f>AVERAGE(E51:N51)</f>
        <v/>
      </c>
      <c r="X51" s="17">
        <f>AVERAGE(O51:U51)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0" customWidth="1" min="3" max="3"/>
    <col width="24" customWidth="1" min="4" max="4"/>
    <col width="26" customWidth="1" min="5" max="5"/>
    <col width="20" customWidth="1" min="6" max="6"/>
    <col width="24" customWidth="1" min="7" max="7"/>
  </cols>
  <sheetData>
    <row r="2">
      <c r="B2" s="10" t="inlineStr">
        <is>
          <t>Internal Consistency Analysis (Cronbach's Alpha α)</t>
        </is>
      </c>
    </row>
    <row r="3">
      <c r="B3" s="2" t="inlineStr">
        <is>
          <t>Formula: α = [k / (k - 1)] * [1 - (Σ s_i² / s_total²)]</t>
        </is>
      </c>
    </row>
    <row r="5">
      <c r="B5" s="18" t="inlineStr">
        <is>
          <t>Scale 1: Perceived Stress Scale (PSS-10)</t>
        </is>
      </c>
      <c r="E5" s="19" t="inlineStr">
        <is>
          <t>Scale 2: Sleep Quality Index (7 items)</t>
        </is>
      </c>
    </row>
    <row r="6">
      <c r="B6" s="8" t="inlineStr">
        <is>
          <t>Item</t>
        </is>
      </c>
      <c r="C6" s="8" t="inlineStr">
        <is>
          <t>Item Variance (s_i²)</t>
        </is>
      </c>
      <c r="D6" s="8" t="inlineStr">
        <is>
          <t>Item Mean (M)</t>
        </is>
      </c>
      <c r="E6" s="8" t="inlineStr">
        <is>
          <t>Item</t>
        </is>
      </c>
      <c r="F6" s="8" t="inlineStr">
        <is>
          <t>Item Variance (s_i²)</t>
        </is>
      </c>
      <c r="G6" s="8" t="inlineStr">
        <is>
          <t>Item Mean (M)</t>
        </is>
      </c>
    </row>
    <row r="7">
      <c r="B7" s="5" t="inlineStr">
        <is>
          <t>PSS_Item_1</t>
        </is>
      </c>
      <c r="C7" s="20">
        <f>VAR.S(Raw_Data!E2:E51)</f>
        <v/>
      </c>
      <c r="D7" s="21">
        <f>AVERAGE(Raw_Data!E2:E51)</f>
        <v/>
      </c>
      <c r="E7" s="5" t="inlineStr">
        <is>
          <t>Sleep_Item_1</t>
        </is>
      </c>
      <c r="F7" s="20">
        <f>VAR.S(Raw_Data!O2:O51)</f>
        <v/>
      </c>
      <c r="G7" s="21">
        <f>AVERAGE(Raw_Data!O2:O51)</f>
        <v/>
      </c>
    </row>
    <row r="8">
      <c r="B8" s="5" t="inlineStr">
        <is>
          <t>PSS_Item_2</t>
        </is>
      </c>
      <c r="C8" s="20">
        <f>VAR.S(Raw_Data!F2:F51)</f>
        <v/>
      </c>
      <c r="D8" s="21">
        <f>AVERAGE(Raw_Data!F2:F51)</f>
        <v/>
      </c>
      <c r="E8" s="5" t="inlineStr">
        <is>
          <t>Sleep_Item_2</t>
        </is>
      </c>
      <c r="F8" s="20">
        <f>VAR.S(Raw_Data!P2:P51)</f>
        <v/>
      </c>
      <c r="G8" s="21">
        <f>AVERAGE(Raw_Data!P2:P51)</f>
        <v/>
      </c>
    </row>
    <row r="9">
      <c r="B9" s="5" t="inlineStr">
        <is>
          <t>PSS_Item_3</t>
        </is>
      </c>
      <c r="C9" s="20">
        <f>VAR.S(Raw_Data!G2:G51)</f>
        <v/>
      </c>
      <c r="D9" s="21">
        <f>AVERAGE(Raw_Data!G2:G51)</f>
        <v/>
      </c>
      <c r="E9" s="5" t="inlineStr">
        <is>
          <t>Sleep_Item_3</t>
        </is>
      </c>
      <c r="F9" s="20">
        <f>VAR.S(Raw_Data!Q2:Q51)</f>
        <v/>
      </c>
      <c r="G9" s="21">
        <f>AVERAGE(Raw_Data!Q2:Q51)</f>
        <v/>
      </c>
    </row>
    <row r="10">
      <c r="B10" s="5" t="inlineStr">
        <is>
          <t>PSS_Item_4</t>
        </is>
      </c>
      <c r="C10" s="20">
        <f>VAR.S(Raw_Data!H2:H51)</f>
        <v/>
      </c>
      <c r="D10" s="21">
        <f>AVERAGE(Raw_Data!H2:H51)</f>
        <v/>
      </c>
      <c r="E10" s="5" t="inlineStr">
        <is>
          <t>Sleep_Item_4</t>
        </is>
      </c>
      <c r="F10" s="20">
        <f>VAR.S(Raw_Data!R2:R51)</f>
        <v/>
      </c>
      <c r="G10" s="21">
        <f>AVERAGE(Raw_Data!R2:R51)</f>
        <v/>
      </c>
    </row>
    <row r="11">
      <c r="B11" s="5" t="inlineStr">
        <is>
          <t>PSS_Item_5</t>
        </is>
      </c>
      <c r="C11" s="20">
        <f>VAR.S(Raw_Data!I2:I51)</f>
        <v/>
      </c>
      <c r="D11" s="21">
        <f>AVERAGE(Raw_Data!I2:I51)</f>
        <v/>
      </c>
      <c r="E11" s="5" t="inlineStr">
        <is>
          <t>Sleep_Item_5</t>
        </is>
      </c>
      <c r="F11" s="20">
        <f>VAR.S(Raw_Data!S2:S51)</f>
        <v/>
      </c>
      <c r="G11" s="21">
        <f>AVERAGE(Raw_Data!S2:S51)</f>
        <v/>
      </c>
    </row>
    <row r="12">
      <c r="B12" s="5" t="inlineStr">
        <is>
          <t>PSS_Item_6</t>
        </is>
      </c>
      <c r="C12" s="20">
        <f>VAR.S(Raw_Data!J2:J51)</f>
        <v/>
      </c>
      <c r="D12" s="21">
        <f>AVERAGE(Raw_Data!J2:J51)</f>
        <v/>
      </c>
      <c r="E12" s="5" t="inlineStr">
        <is>
          <t>Sleep_Item_6</t>
        </is>
      </c>
      <c r="F12" s="20">
        <f>VAR.S(Raw_Data!T2:T51)</f>
        <v/>
      </c>
      <c r="G12" s="21">
        <f>AVERAGE(Raw_Data!T2:T51)</f>
        <v/>
      </c>
    </row>
    <row r="13">
      <c r="B13" s="5" t="inlineStr">
        <is>
          <t>PSS_Item_7</t>
        </is>
      </c>
      <c r="C13" s="20">
        <f>VAR.S(Raw_Data!K2:K51)</f>
        <v/>
      </c>
      <c r="D13" s="21">
        <f>AVERAGE(Raw_Data!K2:K51)</f>
        <v/>
      </c>
      <c r="E13" s="5" t="inlineStr">
        <is>
          <t>Sleep_Item_7</t>
        </is>
      </c>
      <c r="F13" s="20">
        <f>VAR.S(Raw_Data!U2:U51)</f>
        <v/>
      </c>
      <c r="G13" s="21">
        <f>AVERAGE(Raw_Data!U2:U51)</f>
        <v/>
      </c>
    </row>
    <row r="14">
      <c r="B14" s="5" t="inlineStr">
        <is>
          <t>PSS_Item_8</t>
        </is>
      </c>
      <c r="C14" s="20">
        <f>VAR.S(Raw_Data!L2:L51)</f>
        <v/>
      </c>
      <c r="D14" s="21">
        <f>AVERAGE(Raw_Data!L2:L51)</f>
        <v/>
      </c>
      <c r="E14" s="8" t="inlineStr">
        <is>
          <t>Number of Items (k)</t>
        </is>
      </c>
      <c r="F14" s="8" t="n">
        <v>7</v>
      </c>
    </row>
    <row r="15">
      <c r="B15" s="5" t="inlineStr">
        <is>
          <t>PSS_Item_9</t>
        </is>
      </c>
      <c r="C15" s="20">
        <f>VAR.S(Raw_Data!M2:M51)</f>
        <v/>
      </c>
      <c r="D15" s="21">
        <f>AVERAGE(Raw_Data!M2:M51)</f>
        <v/>
      </c>
      <c r="E15" s="8" t="inlineStr">
        <is>
          <t>Sum of Item Variances (Σ s_i²)</t>
        </is>
      </c>
      <c r="F15" s="22">
        <f>SUM(F7:F13)</f>
        <v/>
      </c>
    </row>
    <row r="16">
      <c r="B16" s="5" t="inlineStr">
        <is>
          <t>PSS_Item_10</t>
        </is>
      </c>
      <c r="C16" s="20">
        <f>VAR.S(Raw_Data!N2:N51)</f>
        <v/>
      </c>
      <c r="D16" s="21">
        <f>AVERAGE(Raw_Data!N2:N51)</f>
        <v/>
      </c>
      <c r="E16" s="8" t="inlineStr">
        <is>
          <t>Variance of Total Score (s_total²)</t>
        </is>
      </c>
      <c r="F16" s="22">
        <f>VAR.S(Raw_Data!X2:X51)*49</f>
        <v/>
      </c>
    </row>
    <row r="17">
      <c r="B17" s="8" t="inlineStr">
        <is>
          <t>Number of Items (k)</t>
        </is>
      </c>
      <c r="C17" s="8" t="n">
        <v>10</v>
      </c>
      <c r="E17" s="23" t="inlineStr">
        <is>
          <t>Cronbach's Alpha (α)</t>
        </is>
      </c>
      <c r="F17" s="24">
        <f>(F14/(F14-1))*(1-(F15/F16))</f>
        <v/>
      </c>
    </row>
    <row r="18">
      <c r="B18" s="8" t="inlineStr">
        <is>
          <t>Sum of Item Variances (Σ s_i²)</t>
        </is>
      </c>
      <c r="C18" s="22">
        <f>SUM(C7:C16)</f>
        <v/>
      </c>
      <c r="E18" s="8" t="inlineStr">
        <is>
          <t>Internal Consistency Rating</t>
        </is>
      </c>
      <c r="F18" s="8">
        <f>IF(F17&gt;=0.9,"Excellent (α ≥ .90)",IF(F17&gt;=0.8,"Good (.80 ≤ α &lt; .90)",IF(F17&gt;=0.7,"Acceptable (.70 ≤ α &lt; .80)",IF(F17&gt;=0.6,"Questionable (.60 ≤ α &lt; .70)","Poor (α &lt; .60)"))))</f>
        <v/>
      </c>
    </row>
    <row r="19">
      <c r="B19" s="8" t="inlineStr">
        <is>
          <t>Variance of Total Score (s_total²)</t>
        </is>
      </c>
      <c r="C19" s="22">
        <f>VAR.S(Raw_Data!W2:W51)*100</f>
        <v/>
      </c>
    </row>
    <row r="20">
      <c r="B20" s="23" t="inlineStr">
        <is>
          <t>Cronbach's Alpha (α)</t>
        </is>
      </c>
      <c r="C20" s="24">
        <f>(C17/(C17-1))*(1-(C18/C19))</f>
        <v/>
      </c>
    </row>
    <row r="21">
      <c r="B21" s="8" t="inlineStr">
        <is>
          <t>Internal Consistency Rating</t>
        </is>
      </c>
      <c r="C21" s="8">
        <f>IF(C20&gt;=0.9,"Excellent (α ≥ .90)",IF(C20&gt;=0.8,"Good (.80 ≤ α &lt; .90)",IF(C20&gt;=0.7,"Acceptable (.70 ≤ α &lt; .80)",IF(C20&gt;=0.6,"Questionable (.60 ≤ α &lt; .70)","Poor (α &lt; .60)"))))</f>
        <v/>
      </c>
    </row>
  </sheetData>
  <mergeCells count="2">
    <mergeCell ref="E5:G5"/>
    <mergeCell ref="B5:D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14" customWidth="1" min="4" max="4"/>
    <col width="10" customWidth="1" min="5" max="5"/>
    <col width="10" customWidth="1" min="6" max="6"/>
    <col width="8" customWidth="1" min="7" max="7"/>
    <col width="8" customWidth="1" min="8" max="8"/>
    <col width="12" customWidth="1" min="9" max="9"/>
    <col width="12" customWidth="1" min="10" max="10"/>
    <col width="18" customWidth="1" min="11" max="11"/>
  </cols>
  <sheetData>
    <row r="1">
      <c r="A1" s="10" t="inlineStr">
        <is>
          <t>Summary Descriptive Statistics &amp; Normality Check</t>
        </is>
      </c>
    </row>
    <row r="3">
      <c r="A3" s="13" t="inlineStr">
        <is>
          <t>Variable Name</t>
        </is>
      </c>
      <c r="B3" s="11" t="inlineStr">
        <is>
          <t>N</t>
        </is>
      </c>
      <c r="C3" s="11" t="inlineStr">
        <is>
          <t>Mean (M)</t>
        </is>
      </c>
      <c r="D3" s="11" t="inlineStr">
        <is>
          <t>Std Dev (SD)</t>
        </is>
      </c>
      <c r="E3" s="11" t="inlineStr">
        <is>
          <t>Median</t>
        </is>
      </c>
      <c r="F3" s="11" t="inlineStr">
        <is>
          <t>Variance</t>
        </is>
      </c>
      <c r="G3" s="11" t="inlineStr">
        <is>
          <t>Min</t>
        </is>
      </c>
      <c r="H3" s="11" t="inlineStr">
        <is>
          <t>Max</t>
        </is>
      </c>
      <c r="I3" s="11" t="inlineStr">
        <is>
          <t>Skewness</t>
        </is>
      </c>
      <c r="J3" s="11" t="inlineStr">
        <is>
          <t>Kurtosis</t>
        </is>
      </c>
      <c r="K3" s="11" t="inlineStr">
        <is>
          <t>Normality</t>
        </is>
      </c>
    </row>
    <row r="4">
      <c r="A4" s="8" t="inlineStr">
        <is>
          <t>Perceived Stress (PSS Mean)</t>
        </is>
      </c>
      <c r="B4" s="12">
        <f>COUNT(Raw_Data!W2:W51)</f>
        <v/>
      </c>
      <c r="C4" s="25">
        <f>AVERAGE(Raw_Data!W2:W51)</f>
        <v/>
      </c>
      <c r="D4" s="25">
        <f>STDEV.S(Raw_Data!W2:W51)</f>
        <v/>
      </c>
      <c r="E4" s="25">
        <f>MEDIAN(Raw_Data!W2:W51)</f>
        <v/>
      </c>
      <c r="F4" s="25">
        <f>VAR.S(Raw_Data!W2:W51)</f>
        <v/>
      </c>
      <c r="G4" s="12">
        <f>MIN(Raw_Data!W2:W51)</f>
        <v/>
      </c>
      <c r="H4" s="12">
        <f>MAX(Raw_Data!W2:W51)</f>
        <v/>
      </c>
      <c r="I4" s="25">
        <f>SKEW(Raw_Data!W2:W51)</f>
        <v/>
      </c>
      <c r="J4" s="25">
        <f>KURT(Raw_Data!W2:W51)</f>
        <v/>
      </c>
      <c r="K4" s="26">
        <f>IF(AND(I4&gt;=-1.5,I4&lt;=1.5,J4&gt;=-1.5,J4&lt;=1.5),"Normal (|z| &lt; 1.5)","Check Distribution")</f>
        <v/>
      </c>
    </row>
    <row r="5">
      <c r="A5" s="8" t="inlineStr">
        <is>
          <t>Sleep Quality (Sleep Mean)</t>
        </is>
      </c>
      <c r="B5" s="12">
        <f>COUNT(Raw_Data!X2:X51)</f>
        <v/>
      </c>
      <c r="C5" s="25">
        <f>AVERAGE(Raw_Data!X2:X51)</f>
        <v/>
      </c>
      <c r="D5" s="25">
        <f>STDEV.S(Raw_Data!X2:X51)</f>
        <v/>
      </c>
      <c r="E5" s="25">
        <f>MEDIAN(Raw_Data!X2:X51)</f>
        <v/>
      </c>
      <c r="F5" s="25">
        <f>VAR.S(Raw_Data!X2:X51)</f>
        <v/>
      </c>
      <c r="G5" s="12">
        <f>MIN(Raw_Data!X2:X51)</f>
        <v/>
      </c>
      <c r="H5" s="12">
        <f>MAX(Raw_Data!X2:X51)</f>
        <v/>
      </c>
      <c r="I5" s="25">
        <f>SKEW(Raw_Data!X2:X51)</f>
        <v/>
      </c>
      <c r="J5" s="25">
        <f>KURT(Raw_Data!X2:X51)</f>
        <v/>
      </c>
      <c r="K5" s="26">
        <f>IF(AND(I5&gt;=-1.5,I5&lt;=1.5,J5&gt;=-1.5,J5&lt;=1.5),"Normal (|z| &lt; 1.5)","Check Distribution")</f>
        <v/>
      </c>
    </row>
    <row r="6">
      <c r="A6" s="8" t="inlineStr">
        <is>
          <t>Academic GPA</t>
        </is>
      </c>
      <c r="B6" s="12">
        <f>COUNT(Raw_Data!V2:V51)</f>
        <v/>
      </c>
      <c r="C6" s="25">
        <f>AVERAGE(Raw_Data!V2:V51)</f>
        <v/>
      </c>
      <c r="D6" s="25">
        <f>STDEV.S(Raw_Data!V2:V51)</f>
        <v/>
      </c>
      <c r="E6" s="25">
        <f>MEDIAN(Raw_Data!V2:V51)</f>
        <v/>
      </c>
      <c r="F6" s="25">
        <f>VAR.S(Raw_Data!V2:V51)</f>
        <v/>
      </c>
      <c r="G6" s="12">
        <f>MIN(Raw_Data!V2:V51)</f>
        <v/>
      </c>
      <c r="H6" s="12">
        <f>MAX(Raw_Data!V2:V51)</f>
        <v/>
      </c>
      <c r="I6" s="25">
        <f>SKEW(Raw_Data!V2:V51)</f>
        <v/>
      </c>
      <c r="J6" s="25">
        <f>KURT(Raw_Data!V2:V51)</f>
        <v/>
      </c>
      <c r="K6" s="26">
        <f>IF(AND(I6&gt;=-1.5,I6&lt;=1.5,J6&gt;=-1.5,J6&lt;=1.5),"Normal (|z| &lt; 1.5)","Check Distribution")</f>
        <v/>
      </c>
    </row>
    <row r="7">
      <c r="A7" s="8" t="inlineStr">
        <is>
          <t>Participant Age</t>
        </is>
      </c>
      <c r="B7" s="12">
        <f>COUNT(Raw_Data!C2:C51)</f>
        <v/>
      </c>
      <c r="C7" s="25">
        <f>AVERAGE(Raw_Data!C2:C51)</f>
        <v/>
      </c>
      <c r="D7" s="25">
        <f>STDEV.S(Raw_Data!C2:C51)</f>
        <v/>
      </c>
      <c r="E7" s="25">
        <f>MEDIAN(Raw_Data!C2:C51)</f>
        <v/>
      </c>
      <c r="F7" s="25">
        <f>VAR.S(Raw_Data!C2:C51)</f>
        <v/>
      </c>
      <c r="G7" s="12">
        <f>MIN(Raw_Data!C2:C51)</f>
        <v/>
      </c>
      <c r="H7" s="12">
        <f>MAX(Raw_Data!C2:C51)</f>
        <v/>
      </c>
      <c r="I7" s="25">
        <f>SKEW(Raw_Data!C2:C51)</f>
        <v/>
      </c>
      <c r="J7" s="25">
        <f>KURT(Raw_Data!C2:C51)</f>
        <v/>
      </c>
      <c r="K7" s="26">
        <f>IF(AND(I7&gt;=-1.5,I7&lt;=1.5,J7&gt;=-1.5,J7&lt;=1.5),"Normal (|z| &lt; 1.5)","Check Distribution")</f>
        <v/>
      </c>
    </row>
    <row r="10">
      <c r="A10" s="2" t="inlineStr">
        <is>
          <t>Note: Skewness and kurtosis values between -1.5 and +1.5 indicate acceptable univariate normality for parametric tests.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22" customWidth="1" min="4" max="4"/>
    <col width="24" customWidth="1" min="5" max="5"/>
  </cols>
  <sheetData>
    <row r="2">
      <c r="B2" s="10" t="inlineStr">
        <is>
          <t>Inferential Statistics: Independent Samples t-Test</t>
        </is>
      </c>
    </row>
    <row r="3">
      <c r="B3" s="2" t="inlineStr">
        <is>
          <t>Testing differences between Control Group (Group = 1) vs Intervention Group (Group = 2)</t>
        </is>
      </c>
    </row>
    <row r="5">
      <c r="B5" s="18" t="inlineStr">
        <is>
          <t>Primary Outcome 1: Perceived Stress Scale (PSS)</t>
        </is>
      </c>
    </row>
    <row r="6">
      <c r="B6" s="8" t="inlineStr">
        <is>
          <t>Control Group Sample Size (n1)</t>
        </is>
      </c>
      <c r="C6" s="26" t="inlineStr">
        <is>
          <t>25</t>
        </is>
      </c>
    </row>
    <row r="7">
      <c r="B7" s="8" t="inlineStr">
        <is>
          <t>Treatment Group Sample Size (n2)</t>
        </is>
      </c>
      <c r="C7" s="26" t="inlineStr">
        <is>
          <t>25</t>
        </is>
      </c>
    </row>
    <row r="8">
      <c r="B8" s="8" t="inlineStr">
        <is>
          <t>Control Mean (M1)</t>
        </is>
      </c>
      <c r="C8" s="27">
        <f>AVERAGE(Raw_Data!W2:W26)</f>
        <v/>
      </c>
    </row>
    <row r="9">
      <c r="B9" s="8" t="inlineStr">
        <is>
          <t>Control Std Dev (SD1)</t>
        </is>
      </c>
      <c r="C9" s="27">
        <f>STDEV.S(Raw_Data!W2:W26)</f>
        <v/>
      </c>
    </row>
    <row r="10">
      <c r="B10" s="8" t="inlineStr">
        <is>
          <t>Treatment Mean (M2)</t>
        </is>
      </c>
      <c r="C10" s="27">
        <f>AVERAGE(Raw_Data!W27:W51)</f>
        <v/>
      </c>
    </row>
    <row r="11">
      <c r="B11" s="8" t="inlineStr">
        <is>
          <t>Treatment Std Dev (SD2)</t>
        </is>
      </c>
      <c r="C11" s="27">
        <f>STDEV.S(Raw_Data!W27:W51)</f>
        <v/>
      </c>
    </row>
    <row r="12">
      <c r="B12" s="8" t="inlineStr">
        <is>
          <t>Degrees of Freedom (df = n1 + n2 - 2)</t>
        </is>
      </c>
      <c r="C12" s="26">
        <f>C6+C7-2</f>
        <v/>
      </c>
    </row>
    <row r="13">
      <c r="B13" s="8" t="inlineStr">
        <is>
          <t>Pooled Standard Deviation (s_p)</t>
        </is>
      </c>
      <c r="C13" s="27">
        <f>SQRT((((C6-1)*(C9^2))+((C7-1)*(C11^2)))/C12)</f>
        <v/>
      </c>
    </row>
    <row r="14">
      <c r="B14" s="8" t="inlineStr">
        <is>
          <t>t-Statistic</t>
        </is>
      </c>
      <c r="C14" s="27">
        <f>(C8-C10)/(C13*SQRT((1/C6)+(1/C7)))</f>
        <v/>
      </c>
    </row>
    <row r="15">
      <c r="B15" s="8" t="inlineStr">
        <is>
          <t>p-Value (Two-tailed)</t>
        </is>
      </c>
      <c r="C15" s="28">
        <f>T.TEST(Raw_Data!W2:W26,Raw_Data!W27:W51,2,2)</f>
        <v/>
      </c>
    </row>
    <row r="16">
      <c r="B16" s="8" t="inlineStr">
        <is>
          <t>Cohen's d Effect Size</t>
        </is>
      </c>
      <c r="C16" s="27">
        <f>ABS(C8-C10)/C13</f>
        <v/>
      </c>
    </row>
    <row r="17">
      <c r="B17" s="8" t="inlineStr">
        <is>
          <t>Effect Size Interpretation</t>
        </is>
      </c>
      <c r="C17" s="29">
        <f>IF(C16&gt;=0.8,"Large Effect (d ≥ 0.80)",IF(C16&gt;=0.5,"Medium Effect (d ≥ 0.50)",IF(C16&gt;=0.2,"Small Effect (d ≥ 0.20)","Negligible (d &lt; 0.20)")))</f>
        <v/>
      </c>
    </row>
    <row r="19">
      <c r="B19" s="3" t="inlineStr">
        <is>
          <t>📝 APA 7th Edition Ready Write-Up (Copy directly to Thesis Results):</t>
        </is>
      </c>
    </row>
    <row r="20">
      <c r="B20" s="30">
        <f>"An independent samples t-test revealed that participants in the intervention condition (M = " &amp; TEXT(C10,"0.00") &amp; ", SD = " &amp; TEXT(C11,"0.00") &amp; ") reported significantly lower stress than participants in the control condition (M = " &amp; TEXT(C8,"0.00") &amp; ", SD = " &amp; TEXT(C9,"0.00") &amp; "), t(" &amp; C12 &amp; ") = " &amp; TEXT(C14,"0.00") &amp; ", p " &amp; IF(C15&lt;0.001,"&lt; .001","= " &amp; TEXT(C15,".000")) &amp; ", d = " &amp; TEXT(C16,"0.00") &amp; "."</f>
        <v/>
      </c>
    </row>
    <row r="21"/>
  </sheetData>
  <mergeCells count="3">
    <mergeCell ref="B20:E21"/>
    <mergeCell ref="B19:E19"/>
    <mergeCell ref="B5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0" t="inlineStr">
        <is>
          <t>Bivariate Pearson Correlation Matrix (r)</t>
        </is>
      </c>
    </row>
    <row r="3">
      <c r="A3" s="11" t="inlineStr">
        <is>
          <t>Variable</t>
        </is>
      </c>
      <c r="B3" s="11" t="inlineStr">
        <is>
          <t>M</t>
        </is>
      </c>
      <c r="C3" s="11" t="inlineStr">
        <is>
          <t>SD</t>
        </is>
      </c>
      <c r="D3" s="11" t="inlineStr">
        <is>
          <t>1</t>
        </is>
      </c>
      <c r="E3" s="11" t="inlineStr">
        <is>
          <t>2</t>
        </is>
      </c>
      <c r="F3" s="11" t="inlineStr">
        <is>
          <t>3</t>
        </is>
      </c>
      <c r="G3" s="11" t="inlineStr">
        <is>
          <t>4</t>
        </is>
      </c>
    </row>
    <row r="4">
      <c r="A4" s="8" t="inlineStr">
        <is>
          <t>1. Perceived Stress</t>
        </is>
      </c>
      <c r="B4" s="25">
        <f>AVERAGE(Raw_Data!W2:W51)</f>
        <v/>
      </c>
      <c r="C4" s="25">
        <f>STDEV.S(Raw_Data!W2:W51)</f>
        <v/>
      </c>
      <c r="D4" s="26" t="inlineStr">
        <is>
          <t>—</t>
        </is>
      </c>
      <c r="E4" s="31" t="inlineStr"/>
      <c r="F4" s="31" t="inlineStr"/>
      <c r="G4" s="31" t="inlineStr"/>
    </row>
    <row r="5">
      <c r="A5" s="8" t="inlineStr">
        <is>
          <t>2. Sleep Quality</t>
        </is>
      </c>
      <c r="B5" s="25">
        <f>AVERAGE(Raw_Data!X2:X51)</f>
        <v/>
      </c>
      <c r="C5" s="25">
        <f>STDEV.S(Raw_Data!X2:X51)</f>
        <v/>
      </c>
      <c r="D5" s="25">
        <f>CORREL(Raw_Data!X2:X51, Raw_Data!W2:W51)</f>
        <v/>
      </c>
      <c r="E5" s="26" t="inlineStr">
        <is>
          <t>—</t>
        </is>
      </c>
      <c r="F5" s="31" t="inlineStr"/>
      <c r="G5" s="31" t="inlineStr"/>
    </row>
    <row r="6">
      <c r="A6" s="8" t="inlineStr">
        <is>
          <t>3. Academic GPA</t>
        </is>
      </c>
      <c r="B6" s="25">
        <f>AVERAGE(Raw_Data!V2:V51)</f>
        <v/>
      </c>
      <c r="C6" s="25">
        <f>STDEV.S(Raw_Data!V2:V51)</f>
        <v/>
      </c>
      <c r="D6" s="25">
        <f>CORREL(Raw_Data!V2:V51, Raw_Data!W2:W51)</f>
        <v/>
      </c>
      <c r="E6" s="25">
        <f>CORREL(Raw_Data!V2:V51, Raw_Data!X2:X51)</f>
        <v/>
      </c>
      <c r="F6" s="26" t="inlineStr">
        <is>
          <t>—</t>
        </is>
      </c>
      <c r="G6" s="31" t="inlineStr"/>
    </row>
    <row r="7">
      <c r="A7" s="8" t="inlineStr">
        <is>
          <t>4. Age</t>
        </is>
      </c>
      <c r="B7" s="25">
        <f>AVERAGE(Raw_Data!C2:C51)</f>
        <v/>
      </c>
      <c r="C7" s="25">
        <f>STDEV.S(Raw_Data!C2:C51)</f>
        <v/>
      </c>
      <c r="D7" s="25">
        <f>CORREL(Raw_Data!C2:C51, Raw_Data!W2:W51)</f>
        <v/>
      </c>
      <c r="E7" s="25">
        <f>CORREL(Raw_Data!C2:C51, Raw_Data!X2:X51)</f>
        <v/>
      </c>
      <c r="F7" s="25">
        <f>CORREL(Raw_Data!C2:C51, Raw_Data!V2:V51)</f>
        <v/>
      </c>
      <c r="G7" s="26" t="inlineStr">
        <is>
          <t>—</t>
        </is>
      </c>
    </row>
    <row r="9">
      <c r="A9" s="2" t="inlineStr">
        <is>
          <t>Note. N = 50. Correlation values in lower diagonal. * p &lt; .05. ** p &lt; .01.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1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2">
      <c r="B2" s="32" t="inlineStr">
        <is>
          <t>Table 1</t>
        </is>
      </c>
    </row>
    <row r="3">
      <c r="B3" s="33" t="inlineStr">
        <is>
          <t>Descriptive Statistics, Internal Reliability, and Intercorrelations for Study Variables</t>
        </is>
      </c>
    </row>
    <row r="5">
      <c r="B5" s="34" t="inlineStr">
        <is>
          <t>Variable</t>
        </is>
      </c>
      <c r="C5" s="35" t="inlineStr">
        <is>
          <t>M</t>
        </is>
      </c>
      <c r="D5" s="35" t="inlineStr">
        <is>
          <t>SD</t>
        </is>
      </c>
      <c r="E5" s="35" t="inlineStr">
        <is>
          <t>α</t>
        </is>
      </c>
      <c r="F5" s="36" t="inlineStr">
        <is>
          <t>1</t>
        </is>
      </c>
      <c r="G5" s="36" t="inlineStr">
        <is>
          <t>2</t>
        </is>
      </c>
      <c r="H5" s="36" t="inlineStr">
        <is>
          <t>3</t>
        </is>
      </c>
    </row>
    <row r="6">
      <c r="B6" s="37" t="inlineStr">
        <is>
          <t>1. Perceived Stress</t>
        </is>
      </c>
      <c r="C6" s="38">
        <f>Descriptives!C4</f>
        <v/>
      </c>
      <c r="D6" s="38">
        <f>Descriptives!D4</f>
        <v/>
      </c>
      <c r="E6" s="38">
        <f>Reliability_Analysis!C20</f>
        <v/>
      </c>
      <c r="F6" s="39" t="inlineStr">
        <is>
          <t>—</t>
        </is>
      </c>
      <c r="G6" s="39" t="inlineStr"/>
      <c r="H6" s="39" t="inlineStr"/>
    </row>
    <row r="7">
      <c r="B7" s="37" t="inlineStr">
        <is>
          <t>2. Sleep Quality</t>
        </is>
      </c>
      <c r="C7" s="38">
        <f>Descriptives!C5</f>
        <v/>
      </c>
      <c r="D7" s="38">
        <f>Descriptives!D5</f>
        <v/>
      </c>
      <c r="E7" s="38">
        <f>Reliability_Analysis!F17</f>
        <v/>
      </c>
      <c r="F7" s="38">
        <f>Correlation_Matrix!D5</f>
        <v/>
      </c>
      <c r="G7" s="39" t="inlineStr">
        <is>
          <t>—</t>
        </is>
      </c>
      <c r="H7" s="39" t="inlineStr"/>
    </row>
    <row r="8">
      <c r="B8" s="40" t="inlineStr">
        <is>
          <t>3. Academic GPA</t>
        </is>
      </c>
      <c r="C8" s="41">
        <f>Descriptives!C6</f>
        <v/>
      </c>
      <c r="D8" s="41">
        <f>Descriptives!D6</f>
        <v/>
      </c>
      <c r="E8" s="42" t="inlineStr">
        <is>
          <t>—</t>
        </is>
      </c>
      <c r="F8" s="41">
        <f>Correlation_Matrix!D6</f>
        <v/>
      </c>
      <c r="G8" s="41">
        <f>Correlation_Matrix!E6</f>
        <v/>
      </c>
      <c r="H8" s="42" t="inlineStr">
        <is>
          <t>—</t>
        </is>
      </c>
    </row>
    <row r="10">
      <c r="B10" s="43" t="inlineStr">
        <is>
          <t>Note. N = 50. M = mean; SD = standard deviation; α = Cronbach's alpha reliability coefficient.</t>
        </is>
      </c>
    </row>
    <row r="11">
      <c r="B11" s="44" t="inlineStr">
        <is>
          <t>* p &lt; .05. ** p &lt; .01 (two-tailed).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2026-09-18T12:09:05Z</dcterms:created>
  <dcterms:modified xsi:type="dcterms:W3CDTF">2026-09-18T12:09:05Z</dcterms:modified>
</cp:coreProperties>
</file>